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filterPrivacy="1" codeName="ThisWorkbook"/>
  <bookViews>
    <workbookView xWindow="0" yWindow="0" windowWidth="25200" windowHeight="12570"/>
  </bookViews>
  <sheets>
    <sheet name="项目日程表" sheetId="1" r:id="rId1"/>
    <sheet name="计算" sheetId="2" state="hidden" r:id="rId2"/>
  </sheets>
  <definedNames>
    <definedName name="DayRails">StartDateWindow+ROW(项目日程表!$1:$25)-1</definedName>
    <definedName name="GridCalc">IFERROR(计算!$A1/SUMPRODUCT( (Activities[Id]=计算!$C1)*(Activities[开始]&lt;=计算!A$31)*((Activities[结束]&gt;=计算!A$31)+(LEN(Activities[结束])=0)*(Activities[开始]=计算!A$31)) ),NA())</definedName>
    <definedName name="StartDate">计算!$D$28</definedName>
    <definedName name="StartDateWindow">计算!$D$25</definedName>
    <definedName name="WindowDays">计算!$D$29</definedName>
    <definedName name="WindowOffset">计算!$D$26</definedName>
  </definedNames>
  <calcPr calcId="152511"/>
</workbook>
</file>

<file path=xl/calcChain.xml><?xml version="1.0" encoding="utf-8"?>
<calcChain xmlns="http://schemas.openxmlformats.org/spreadsheetml/2006/main">
  <c r="D20" i="1" l="1"/>
  <c r="D23" i="1" l="1"/>
  <c r="D24" i="1" s="1"/>
  <c r="D3" i="2"/>
  <c r="F71" i="2"/>
  <c r="G71" i="2" s="1"/>
  <c r="H71" i="2" s="1"/>
  <c r="I71" i="2" s="1"/>
  <c r="J71" i="2" s="1"/>
  <c r="K71" i="2" s="1"/>
  <c r="L71" i="2" s="1"/>
  <c r="M71" i="2" s="1"/>
  <c r="N71" i="2" s="1"/>
  <c r="O71" i="2" s="1"/>
  <c r="P71" i="2" s="1"/>
  <c r="Q71" i="2" s="1"/>
  <c r="R71" i="2" s="1"/>
  <c r="S71" i="2" s="1"/>
  <c r="T71" i="2" s="1"/>
  <c r="U71" i="2" s="1"/>
  <c r="V71" i="2" s="1"/>
  <c r="W71" i="2" s="1"/>
  <c r="X71" i="2" s="1"/>
  <c r="Y71" i="2" s="1"/>
  <c r="Z71" i="2" s="1"/>
  <c r="AA71" i="2" s="1"/>
  <c r="AB71" i="2" s="1"/>
  <c r="AC71" i="2" s="1"/>
  <c r="AD71" i="2" s="1"/>
  <c r="AE71" i="2" s="1"/>
  <c r="AF71" i="2" s="1"/>
  <c r="AG71" i="2" s="1"/>
  <c r="AH71" i="2" s="1"/>
  <c r="F69" i="2"/>
  <c r="G69" i="2" s="1"/>
  <c r="H69" i="2" s="1"/>
  <c r="I69" i="2" s="1"/>
  <c r="J69" i="2" s="1"/>
  <c r="K69" i="2" s="1"/>
  <c r="L69" i="2" s="1"/>
  <c r="M69" i="2" s="1"/>
  <c r="N69" i="2" s="1"/>
  <c r="O69" i="2" s="1"/>
  <c r="P69" i="2" s="1"/>
  <c r="Q69" i="2" s="1"/>
  <c r="R69" i="2" s="1"/>
  <c r="S69" i="2" s="1"/>
  <c r="T69" i="2" s="1"/>
  <c r="U69" i="2" s="1"/>
  <c r="V69" i="2" s="1"/>
  <c r="W69" i="2" s="1"/>
  <c r="X69" i="2" s="1"/>
  <c r="Y69" i="2" s="1"/>
  <c r="Z69" i="2" s="1"/>
  <c r="AA69" i="2" s="1"/>
  <c r="AB69" i="2" s="1"/>
  <c r="AC69" i="2" s="1"/>
  <c r="AD69" i="2" s="1"/>
  <c r="AE69" i="2" s="1"/>
  <c r="AF69" i="2" s="1"/>
  <c r="AG69" i="2" s="1"/>
  <c r="AH69" i="2" s="1"/>
  <c r="E24" i="1" l="1"/>
  <c r="D25" i="1"/>
  <c r="A33" i="2"/>
  <c r="A34" i="2" s="1"/>
  <c r="A35" i="2" s="1"/>
  <c r="A36" i="2" s="1"/>
  <c r="A37" i="2" s="1"/>
  <c r="A38" i="2" s="1"/>
  <c r="A39" i="2" s="1"/>
  <c r="A40" i="2" s="1"/>
  <c r="D28" i="2"/>
  <c r="D25" i="2" s="1"/>
  <c r="E14" i="2"/>
  <c r="E13" i="2"/>
  <c r="E12" i="2"/>
  <c r="E11" i="2"/>
  <c r="E10" i="2"/>
  <c r="E9" i="2"/>
  <c r="E8" i="2"/>
  <c r="E7" i="2"/>
  <c r="E6" i="2"/>
  <c r="B23" i="1"/>
  <c r="D26" i="1" l="1"/>
  <c r="D27" i="1" s="1"/>
  <c r="E27" i="1" s="1"/>
  <c r="E25" i="1"/>
  <c r="E31" i="2"/>
  <c r="F31" i="2" s="1"/>
  <c r="G31" i="2" s="1"/>
  <c r="H31" i="2" s="1"/>
  <c r="I31" i="2" s="1"/>
  <c r="J31" i="2" s="1"/>
  <c r="K31" i="2" s="1"/>
  <c r="L31" i="2" s="1"/>
  <c r="M31" i="2" s="1"/>
  <c r="N31" i="2" s="1"/>
  <c r="O31" i="2" s="1"/>
  <c r="P31" i="2" s="1"/>
  <c r="Q31" i="2" s="1"/>
  <c r="R31" i="2" s="1"/>
  <c r="S31" i="2" s="1"/>
  <c r="T31" i="2" s="1"/>
  <c r="U31" i="2" s="1"/>
  <c r="V31" i="2" s="1"/>
  <c r="W31" i="2" s="1"/>
  <c r="X31" i="2" s="1"/>
  <c r="Y31" i="2" s="1"/>
  <c r="Z31" i="2" s="1"/>
  <c r="AA31" i="2" s="1"/>
  <c r="AB31" i="2" s="1"/>
  <c r="AC31" i="2" s="1"/>
  <c r="AD31" i="2" s="1"/>
  <c r="AE31" i="2" s="1"/>
  <c r="AF31" i="2" s="1"/>
  <c r="AG31" i="2" s="1"/>
  <c r="AH31" i="2" s="1"/>
  <c r="AH55" i="2" s="1"/>
  <c r="AH70" i="2" s="1"/>
  <c r="B24" i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D28" i="1" l="1"/>
  <c r="D29" i="1" s="1"/>
  <c r="D30" i="1" s="1"/>
  <c r="D31" i="1" s="1"/>
  <c r="AH72" i="2"/>
  <c r="AH56" i="2"/>
  <c r="J55" i="2"/>
  <c r="J70" i="2" s="1"/>
  <c r="P43" i="2"/>
  <c r="U55" i="2"/>
  <c r="U70" i="2" s="1"/>
  <c r="I55" i="2"/>
  <c r="I70" i="2" s="1"/>
  <c r="I43" i="2"/>
  <c r="AB55" i="2"/>
  <c r="AB70" i="2" s="1"/>
  <c r="P55" i="2"/>
  <c r="P70" i="2" s="1"/>
  <c r="G55" i="2"/>
  <c r="G70" i="2" s="1"/>
  <c r="M55" i="2"/>
  <c r="M70" i="2" s="1"/>
  <c r="J43" i="2"/>
  <c r="N43" i="2"/>
  <c r="U43" i="2"/>
  <c r="AF55" i="2"/>
  <c r="AF70" i="2" s="1"/>
  <c r="AF43" i="2"/>
  <c r="Z43" i="2"/>
  <c r="T43" i="2"/>
  <c r="AG43" i="2"/>
  <c r="Y43" i="2"/>
  <c r="Z55" i="2"/>
  <c r="Z70" i="2" s="1"/>
  <c r="AB43" i="2"/>
  <c r="AA43" i="2"/>
  <c r="S43" i="2"/>
  <c r="T55" i="2"/>
  <c r="T70" i="2" s="1"/>
  <c r="M43" i="2"/>
  <c r="V43" i="2"/>
  <c r="O43" i="2"/>
  <c r="G43" i="2"/>
  <c r="H55" i="2"/>
  <c r="H70" i="2" s="1"/>
  <c r="L55" i="2"/>
  <c r="L70" i="2" s="1"/>
  <c r="AD55" i="2"/>
  <c r="AD70" i="2" s="1"/>
  <c r="X55" i="2"/>
  <c r="X70" i="2" s="1"/>
  <c r="R55" i="2"/>
  <c r="R70" i="2" s="1"/>
  <c r="V55" i="2"/>
  <c r="V70" i="2" s="1"/>
  <c r="Y55" i="2"/>
  <c r="Y70" i="2" s="1"/>
  <c r="O55" i="2"/>
  <c r="O70" i="2" s="1"/>
  <c r="N55" i="2"/>
  <c r="N70" i="2" s="1"/>
  <c r="H43" i="2"/>
  <c r="F55" i="2"/>
  <c r="F70" i="2" s="1"/>
  <c r="S55" i="2"/>
  <c r="S70" i="2" s="1"/>
  <c r="X43" i="2"/>
  <c r="AD43" i="2"/>
  <c r="R43" i="2"/>
  <c r="AG55" i="2"/>
  <c r="AG70" i="2" s="1"/>
  <c r="L43" i="2"/>
  <c r="AA55" i="2"/>
  <c r="AA70" i="2" s="1"/>
  <c r="F43" i="2"/>
  <c r="K43" i="2"/>
  <c r="AE55" i="2"/>
  <c r="AE70" i="2" s="1"/>
  <c r="AC43" i="2"/>
  <c r="W43" i="2"/>
  <c r="E43" i="2"/>
  <c r="AH43" i="2"/>
  <c r="Q55" i="2"/>
  <c r="Q70" i="2" s="1"/>
  <c r="AE43" i="2"/>
  <c r="K55" i="2"/>
  <c r="K70" i="2" s="1"/>
  <c r="E55" i="2"/>
  <c r="E70" i="2" s="1"/>
  <c r="Q43" i="2"/>
  <c r="W55" i="2"/>
  <c r="W70" i="2" s="1"/>
  <c r="AC55" i="2"/>
  <c r="AC70" i="2" s="1"/>
  <c r="AI31" i="2"/>
  <c r="E28" i="1" l="1"/>
  <c r="E29" i="1"/>
  <c r="P56" i="2"/>
  <c r="D32" i="1"/>
  <c r="E31" i="1"/>
  <c r="AA72" i="2"/>
  <c r="E72" i="2"/>
  <c r="F72" i="2"/>
  <c r="J56" i="2"/>
  <c r="AE72" i="2"/>
  <c r="AD72" i="2"/>
  <c r="AB72" i="2"/>
  <c r="X72" i="2"/>
  <c r="Z72" i="2"/>
  <c r="Q72" i="2"/>
  <c r="O72" i="2"/>
  <c r="L72" i="2"/>
  <c r="T72" i="2"/>
  <c r="S72" i="2"/>
  <c r="K72" i="2"/>
  <c r="Y72" i="2"/>
  <c r="I72" i="2"/>
  <c r="H72" i="2"/>
  <c r="V72" i="2"/>
  <c r="M72" i="2"/>
  <c r="U72" i="2"/>
  <c r="R56" i="2"/>
  <c r="R72" i="2"/>
  <c r="G72" i="2"/>
  <c r="AF72" i="2"/>
  <c r="P72" i="2"/>
  <c r="J72" i="2"/>
  <c r="W72" i="2"/>
  <c r="AG72" i="2"/>
  <c r="N72" i="2"/>
  <c r="AC72" i="2"/>
  <c r="AF56" i="2"/>
  <c r="G56" i="2"/>
  <c r="M56" i="2"/>
  <c r="U56" i="2"/>
  <c r="Y56" i="2"/>
  <c r="I56" i="2"/>
  <c r="AA56" i="2"/>
  <c r="E56" i="2"/>
  <c r="Z56" i="2"/>
  <c r="AE56" i="2"/>
  <c r="AD56" i="2"/>
  <c r="AB56" i="2"/>
  <c r="Q56" i="2"/>
  <c r="O56" i="2"/>
  <c r="F56" i="2"/>
  <c r="T56" i="2"/>
  <c r="H56" i="2"/>
  <c r="L56" i="2"/>
  <c r="AG56" i="2"/>
  <c r="X56" i="2"/>
  <c r="N56" i="2"/>
  <c r="S56" i="2"/>
  <c r="V56" i="2"/>
  <c r="K56" i="2"/>
  <c r="AC56" i="2"/>
  <c r="W56" i="2"/>
  <c r="D58" i="2"/>
  <c r="D59" i="2" s="1"/>
  <c r="D33" i="1" l="1"/>
  <c r="E32" i="1"/>
  <c r="D61" i="2"/>
  <c r="D62" i="2" s="1"/>
  <c r="D65" i="2"/>
  <c r="Q65" i="2" s="1"/>
  <c r="AH58" i="2"/>
  <c r="AH59" i="2" s="1"/>
  <c r="AB58" i="2"/>
  <c r="AB59" i="2" s="1"/>
  <c r="V58" i="2"/>
  <c r="V59" i="2" s="1"/>
  <c r="P58" i="2"/>
  <c r="P59" i="2" s="1"/>
  <c r="J58" i="2"/>
  <c r="J59" i="2" s="1"/>
  <c r="M58" i="2"/>
  <c r="M59" i="2" s="1"/>
  <c r="R58" i="2"/>
  <c r="R59" i="2" s="1"/>
  <c r="AG58" i="2"/>
  <c r="AG59" i="2" s="1"/>
  <c r="AA58" i="2"/>
  <c r="AA59" i="2" s="1"/>
  <c r="U58" i="2"/>
  <c r="U59" i="2" s="1"/>
  <c r="O58" i="2"/>
  <c r="O59" i="2" s="1"/>
  <c r="I58" i="2"/>
  <c r="I59" i="2" s="1"/>
  <c r="X58" i="2"/>
  <c r="X59" i="2" s="1"/>
  <c r="AF58" i="2"/>
  <c r="AF59" i="2" s="1"/>
  <c r="Z58" i="2"/>
  <c r="Z59" i="2" s="1"/>
  <c r="T58" i="2"/>
  <c r="T59" i="2" s="1"/>
  <c r="N58" i="2"/>
  <c r="N59" i="2" s="1"/>
  <c r="H58" i="2"/>
  <c r="H59" i="2" s="1"/>
  <c r="G58" i="2"/>
  <c r="G59" i="2" s="1"/>
  <c r="L58" i="2"/>
  <c r="L59" i="2" s="1"/>
  <c r="AE58" i="2"/>
  <c r="AE59" i="2" s="1"/>
  <c r="Y58" i="2"/>
  <c r="Y59" i="2" s="1"/>
  <c r="S58" i="2"/>
  <c r="S59" i="2" s="1"/>
  <c r="AD58" i="2"/>
  <c r="AD59" i="2" s="1"/>
  <c r="AC58" i="2"/>
  <c r="AC59" i="2" s="1"/>
  <c r="W58" i="2"/>
  <c r="W59" i="2" s="1"/>
  <c r="Q58" i="2"/>
  <c r="Q59" i="2" s="1"/>
  <c r="K58" i="2"/>
  <c r="K59" i="2" s="1"/>
  <c r="E58" i="2"/>
  <c r="E59" i="2" s="1"/>
  <c r="F58" i="2"/>
  <c r="F59" i="2" s="1"/>
  <c r="D34" i="1" l="1"/>
  <c r="E33" i="1"/>
  <c r="AA65" i="2"/>
  <c r="R65" i="2"/>
  <c r="AE65" i="2"/>
  <c r="AF65" i="2"/>
  <c r="U65" i="2"/>
  <c r="T65" i="2"/>
  <c r="Z65" i="2"/>
  <c r="K65" i="2"/>
  <c r="N65" i="2"/>
  <c r="I65" i="2"/>
  <c r="E65" i="2"/>
  <c r="Y65" i="2"/>
  <c r="J65" i="2"/>
  <c r="P65" i="2"/>
  <c r="AH65" i="2"/>
  <c r="F65" i="2"/>
  <c r="AG65" i="2"/>
  <c r="AC65" i="2"/>
  <c r="G65" i="2"/>
  <c r="D66" i="2"/>
  <c r="P66" i="2" s="1"/>
  <c r="H65" i="2"/>
  <c r="W65" i="2"/>
  <c r="L65" i="2"/>
  <c r="M65" i="2"/>
  <c r="AD65" i="2"/>
  <c r="AB65" i="2"/>
  <c r="V65" i="2"/>
  <c r="O65" i="2"/>
  <c r="S65" i="2"/>
  <c r="X65" i="2"/>
  <c r="AH61" i="2"/>
  <c r="AH62" i="2" s="1"/>
  <c r="P61" i="2"/>
  <c r="P62" i="2" s="1"/>
  <c r="U61" i="2"/>
  <c r="U62" i="2" s="1"/>
  <c r="AG61" i="2"/>
  <c r="AG62" i="2" s="1"/>
  <c r="AF61" i="2"/>
  <c r="AF62" i="2" s="1"/>
  <c r="Z61" i="2"/>
  <c r="Z62" i="2" s="1"/>
  <c r="T61" i="2"/>
  <c r="T62" i="2" s="1"/>
  <c r="N61" i="2"/>
  <c r="N62" i="2" s="1"/>
  <c r="H61" i="2"/>
  <c r="H62" i="2" s="1"/>
  <c r="V61" i="2"/>
  <c r="V62" i="2" s="1"/>
  <c r="I61" i="2"/>
  <c r="I62" i="2" s="1"/>
  <c r="AE61" i="2"/>
  <c r="AE62" i="2" s="1"/>
  <c r="Y61" i="2"/>
  <c r="Y62" i="2" s="1"/>
  <c r="S61" i="2"/>
  <c r="S62" i="2" s="1"/>
  <c r="M61" i="2"/>
  <c r="M62" i="2" s="1"/>
  <c r="G61" i="2"/>
  <c r="G62" i="2" s="1"/>
  <c r="AD61" i="2"/>
  <c r="AD62" i="2" s="1"/>
  <c r="X61" i="2"/>
  <c r="X62" i="2" s="1"/>
  <c r="R61" i="2"/>
  <c r="R62" i="2" s="1"/>
  <c r="L61" i="2"/>
  <c r="L62" i="2" s="1"/>
  <c r="F61" i="2"/>
  <c r="F62" i="2" s="1"/>
  <c r="AC61" i="2"/>
  <c r="AC62" i="2" s="1"/>
  <c r="W61" i="2"/>
  <c r="W62" i="2" s="1"/>
  <c r="K61" i="2"/>
  <c r="K62" i="2" s="1"/>
  <c r="E61" i="2"/>
  <c r="E62" i="2" s="1"/>
  <c r="AB61" i="2"/>
  <c r="AB62" i="2" s="1"/>
  <c r="J61" i="2"/>
  <c r="J62" i="2" s="1"/>
  <c r="AA61" i="2"/>
  <c r="AA62" i="2" s="1"/>
  <c r="O61" i="2"/>
  <c r="O62" i="2" s="1"/>
  <c r="Q61" i="2"/>
  <c r="Q62" i="2" s="1"/>
  <c r="E15" i="2" l="1" a="1"/>
  <c r="E15" i="2" s="1"/>
  <c r="E16" i="2" s="1" a="1"/>
  <c r="E16" i="2" s="1"/>
  <c r="E17" i="2" s="1" a="1"/>
  <c r="E17" i="2" s="1"/>
  <c r="E18" i="2" s="1" a="1"/>
  <c r="E18" i="2" s="1"/>
  <c r="E19" i="2" s="1" a="1"/>
  <c r="E19" i="2" s="1"/>
  <c r="E20" i="2" s="1" a="1"/>
  <c r="E20" i="2" s="1"/>
  <c r="E21" i="2" s="1" a="1"/>
  <c r="E21" i="2" s="1"/>
  <c r="E22" i="2" s="1" a="1"/>
  <c r="E22" i="2" s="1"/>
  <c r="E23" i="2" s="1" a="1"/>
  <c r="E23" i="2" s="1"/>
  <c r="D9" i="2"/>
  <c r="D11" i="2" s="1"/>
  <c r="F18" i="2" s="1"/>
  <c r="C35" i="2" s="1"/>
  <c r="AI35" i="2" s="1"/>
  <c r="AH66" i="2"/>
  <c r="H66" i="2"/>
  <c r="U66" i="2"/>
  <c r="F66" i="2"/>
  <c r="Z66" i="2"/>
  <c r="AE66" i="2"/>
  <c r="AF66" i="2"/>
  <c r="R66" i="2"/>
  <c r="Y66" i="2"/>
  <c r="AC66" i="2"/>
  <c r="W66" i="2"/>
  <c r="O66" i="2"/>
  <c r="AB66" i="2"/>
  <c r="V66" i="2"/>
  <c r="AD66" i="2"/>
  <c r="X66" i="2"/>
  <c r="AA66" i="2"/>
  <c r="Q66" i="2"/>
  <c r="I66" i="2"/>
  <c r="S66" i="2"/>
  <c r="K66" i="2"/>
  <c r="T66" i="2"/>
  <c r="M66" i="2"/>
  <c r="E66" i="2"/>
  <c r="N66" i="2"/>
  <c r="G66" i="2"/>
  <c r="J66" i="2"/>
  <c r="L66" i="2"/>
  <c r="AG66" i="2"/>
  <c r="C47" i="2" l="1"/>
  <c r="D47" i="2" s="1"/>
  <c r="AC35" i="2"/>
  <c r="S35" i="2"/>
  <c r="P35" i="2"/>
  <c r="D35" i="2"/>
  <c r="X35" i="2"/>
  <c r="E35" i="2"/>
  <c r="U35" i="2"/>
  <c r="AE35" i="2"/>
  <c r="G35" i="2"/>
  <c r="L35" i="2"/>
  <c r="Q35" i="2"/>
  <c r="AB35" i="2"/>
  <c r="AG35" i="2"/>
  <c r="AF35" i="2"/>
  <c r="F19" i="2"/>
  <c r="C36" i="2" s="1"/>
  <c r="AI36" i="2" s="1"/>
  <c r="Y35" i="2"/>
  <c r="M35" i="2"/>
  <c r="AD35" i="2"/>
  <c r="R35" i="2"/>
  <c r="F35" i="2"/>
  <c r="W35" i="2"/>
  <c r="K35" i="2"/>
  <c r="AH35" i="2"/>
  <c r="V35" i="2"/>
  <c r="J35" i="2"/>
  <c r="AA35" i="2"/>
  <c r="O35" i="2"/>
  <c r="T35" i="2"/>
  <c r="H35" i="2"/>
  <c r="I35" i="2"/>
  <c r="Z35" i="2"/>
  <c r="N35" i="2"/>
  <c r="F16" i="2"/>
  <c r="C33" i="2" s="1"/>
  <c r="AI33" i="2" s="1"/>
  <c r="F17" i="2"/>
  <c r="C34" i="2" s="1"/>
  <c r="I34" i="2" s="1"/>
  <c r="F15" i="2"/>
  <c r="C32" i="2" s="1"/>
  <c r="D32" i="2" s="1"/>
  <c r="F20" i="2"/>
  <c r="C37" i="2" s="1"/>
  <c r="F22" i="2"/>
  <c r="C39" i="2" s="1"/>
  <c r="F21" i="2"/>
  <c r="C38" i="2" s="1"/>
  <c r="F23" i="2"/>
  <c r="C40" i="2" s="1"/>
  <c r="AG47" i="2" l="1"/>
  <c r="O47" i="2"/>
  <c r="W47" i="2"/>
  <c r="AA47" i="2"/>
  <c r="AE47" i="2"/>
  <c r="AD47" i="2"/>
  <c r="E47" i="2"/>
  <c r="P47" i="2"/>
  <c r="R47" i="2"/>
  <c r="AH36" i="2"/>
  <c r="AH48" i="2" s="1"/>
  <c r="F47" i="2"/>
  <c r="Y36" i="2"/>
  <c r="R36" i="2"/>
  <c r="O36" i="2"/>
  <c r="I33" i="2"/>
  <c r="T47" i="2"/>
  <c r="U47" i="2"/>
  <c r="X47" i="2"/>
  <c r="AB47" i="2"/>
  <c r="S47" i="2"/>
  <c r="F34" i="2"/>
  <c r="AC34" i="2"/>
  <c r="C44" i="2"/>
  <c r="D44" i="2" s="1"/>
  <c r="D34" i="2"/>
  <c r="C46" i="2"/>
  <c r="D46" i="2" s="1"/>
  <c r="AI34" i="2"/>
  <c r="L47" i="2"/>
  <c r="AF47" i="2"/>
  <c r="D36" i="2"/>
  <c r="Q47" i="2"/>
  <c r="W36" i="2"/>
  <c r="J36" i="2"/>
  <c r="T36" i="2"/>
  <c r="J33" i="2"/>
  <c r="AH47" i="2"/>
  <c r="AD36" i="2"/>
  <c r="F36" i="2"/>
  <c r="K36" i="2"/>
  <c r="V36" i="2"/>
  <c r="AA36" i="2"/>
  <c r="AF36" i="2"/>
  <c r="H36" i="2"/>
  <c r="M36" i="2"/>
  <c r="C48" i="2"/>
  <c r="D48" i="2" s="1"/>
  <c r="M33" i="2"/>
  <c r="X33" i="2"/>
  <c r="V47" i="2"/>
  <c r="J47" i="2"/>
  <c r="K47" i="2"/>
  <c r="AC47" i="2"/>
  <c r="Y34" i="2"/>
  <c r="V34" i="2"/>
  <c r="S34" i="2"/>
  <c r="P34" i="2"/>
  <c r="Y47" i="2"/>
  <c r="H47" i="2"/>
  <c r="M47" i="2"/>
  <c r="G47" i="2"/>
  <c r="X36" i="2"/>
  <c r="L36" i="2"/>
  <c r="AC36" i="2"/>
  <c r="Q36" i="2"/>
  <c r="E36" i="2"/>
  <c r="AB36" i="2"/>
  <c r="P36" i="2"/>
  <c r="AG36" i="2"/>
  <c r="U36" i="2"/>
  <c r="I36" i="2"/>
  <c r="Z36" i="2"/>
  <c r="N36" i="2"/>
  <c r="AE36" i="2"/>
  <c r="S36" i="2"/>
  <c r="G36" i="2"/>
  <c r="R32" i="2"/>
  <c r="AF33" i="2"/>
  <c r="W33" i="2"/>
  <c r="Z33" i="2"/>
  <c r="E33" i="2"/>
  <c r="N47" i="2"/>
  <c r="I47" i="2"/>
  <c r="F32" i="2"/>
  <c r="V32" i="2"/>
  <c r="AA33" i="2"/>
  <c r="H33" i="2"/>
  <c r="R33" i="2"/>
  <c r="AH33" i="2"/>
  <c r="AH45" i="2" s="1"/>
  <c r="D33" i="2"/>
  <c r="S33" i="2"/>
  <c r="AC33" i="2"/>
  <c r="P33" i="2"/>
  <c r="T34" i="2"/>
  <c r="AD34" i="2"/>
  <c r="K34" i="2"/>
  <c r="AA34" i="2"/>
  <c r="N34" i="2"/>
  <c r="X34" i="2"/>
  <c r="E34" i="2"/>
  <c r="U34" i="2"/>
  <c r="AF34" i="2"/>
  <c r="H34" i="2"/>
  <c r="H46" i="2" s="1"/>
  <c r="M34" i="2"/>
  <c r="R34" i="2"/>
  <c r="W34" i="2"/>
  <c r="AH34" i="2"/>
  <c r="J34" i="2"/>
  <c r="I46" i="2" s="1"/>
  <c r="O34" i="2"/>
  <c r="Z34" i="2"/>
  <c r="AE34" i="2"/>
  <c r="AD46" i="2" s="1"/>
  <c r="G34" i="2"/>
  <c r="L34" i="2"/>
  <c r="Q34" i="2"/>
  <c r="AB34" i="2"/>
  <c r="AG34" i="2"/>
  <c r="Z47" i="2"/>
  <c r="P32" i="2"/>
  <c r="AE32" i="2"/>
  <c r="AB32" i="2"/>
  <c r="O32" i="2"/>
  <c r="AG33" i="2"/>
  <c r="N33" i="2"/>
  <c r="O33" i="2"/>
  <c r="T33" i="2"/>
  <c r="Y33" i="2"/>
  <c r="AD33" i="2"/>
  <c r="F33" i="2"/>
  <c r="K33" i="2"/>
  <c r="V33" i="2"/>
  <c r="C45" i="2"/>
  <c r="D45" i="2" s="1"/>
  <c r="U33" i="2"/>
  <c r="AE33" i="2"/>
  <c r="G33" i="2"/>
  <c r="L33" i="2"/>
  <c r="Q33" i="2"/>
  <c r="AB33" i="2"/>
  <c r="Y32" i="2"/>
  <c r="AC32" i="2"/>
  <c r="AD32" i="2"/>
  <c r="Z32" i="2"/>
  <c r="AA32" i="2"/>
  <c r="W32" i="2"/>
  <c r="H32" i="2"/>
  <c r="AG32" i="2"/>
  <c r="K32" i="2"/>
  <c r="X32" i="2"/>
  <c r="T32" i="2"/>
  <c r="Q32" i="2"/>
  <c r="L32" i="2"/>
  <c r="E32" i="2"/>
  <c r="M32" i="2"/>
  <c r="N32" i="2"/>
  <c r="I32" i="2"/>
  <c r="U32" i="2"/>
  <c r="J32" i="2"/>
  <c r="AI32" i="2"/>
  <c r="S32" i="2"/>
  <c r="G32" i="2"/>
  <c r="AF32" i="2"/>
  <c r="AH32" i="2"/>
  <c r="C52" i="2"/>
  <c r="D52" i="2" s="1"/>
  <c r="AI40" i="2"/>
  <c r="C51" i="2"/>
  <c r="D51" i="2" s="1"/>
  <c r="AI39" i="2"/>
  <c r="C49" i="2"/>
  <c r="D49" i="2" s="1"/>
  <c r="AI37" i="2"/>
  <c r="C50" i="2"/>
  <c r="D50" i="2" s="1"/>
  <c r="AI38" i="2"/>
  <c r="E38" i="2"/>
  <c r="K38" i="2"/>
  <c r="Q38" i="2"/>
  <c r="W38" i="2"/>
  <c r="AC38" i="2"/>
  <c r="F38" i="2"/>
  <c r="L38" i="2"/>
  <c r="R38" i="2"/>
  <c r="X38" i="2"/>
  <c r="AD38" i="2"/>
  <c r="G38" i="2"/>
  <c r="M38" i="2"/>
  <c r="S38" i="2"/>
  <c r="Y38" i="2"/>
  <c r="AE38" i="2"/>
  <c r="H38" i="2"/>
  <c r="N38" i="2"/>
  <c r="T38" i="2"/>
  <c r="Z38" i="2"/>
  <c r="AF38" i="2"/>
  <c r="I38" i="2"/>
  <c r="O38" i="2"/>
  <c r="U38" i="2"/>
  <c r="AA38" i="2"/>
  <c r="AG38" i="2"/>
  <c r="J38" i="2"/>
  <c r="P38" i="2"/>
  <c r="V38" i="2"/>
  <c r="AB38" i="2"/>
  <c r="AH38" i="2"/>
  <c r="I40" i="2"/>
  <c r="AG40" i="2"/>
  <c r="V40" i="2"/>
  <c r="Q40" i="2"/>
  <c r="F40" i="2"/>
  <c r="J40" i="2"/>
  <c r="AH40" i="2"/>
  <c r="AD40" i="2"/>
  <c r="E40" i="2"/>
  <c r="AC40" i="2"/>
  <c r="X40" i="2"/>
  <c r="L40" i="2"/>
  <c r="G40" i="2"/>
  <c r="M40" i="2"/>
  <c r="S40" i="2"/>
  <c r="Y40" i="2"/>
  <c r="AE40" i="2"/>
  <c r="H40" i="2"/>
  <c r="N40" i="2"/>
  <c r="T40" i="2"/>
  <c r="Z40" i="2"/>
  <c r="AF40" i="2"/>
  <c r="O40" i="2"/>
  <c r="U40" i="2"/>
  <c r="AA40" i="2"/>
  <c r="P40" i="2"/>
  <c r="AB40" i="2"/>
  <c r="K40" i="2"/>
  <c r="W40" i="2"/>
  <c r="R40" i="2"/>
  <c r="J39" i="2"/>
  <c r="P39" i="2"/>
  <c r="AB39" i="2"/>
  <c r="E39" i="2"/>
  <c r="K39" i="2"/>
  <c r="Q39" i="2"/>
  <c r="AC39" i="2"/>
  <c r="S39" i="2"/>
  <c r="F39" i="2"/>
  <c r="L39" i="2"/>
  <c r="R39" i="2"/>
  <c r="X39" i="2"/>
  <c r="AD39" i="2"/>
  <c r="G39" i="2"/>
  <c r="M39" i="2"/>
  <c r="AE39" i="2"/>
  <c r="H39" i="2"/>
  <c r="N39" i="2"/>
  <c r="T39" i="2"/>
  <c r="Z39" i="2"/>
  <c r="AF39" i="2"/>
  <c r="I39" i="2"/>
  <c r="O39" i="2"/>
  <c r="U39" i="2"/>
  <c r="AA39" i="2"/>
  <c r="AG39" i="2"/>
  <c r="V39" i="2"/>
  <c r="AH39" i="2"/>
  <c r="W39" i="2"/>
  <c r="Y39" i="2"/>
  <c r="F37" i="2"/>
  <c r="L37" i="2"/>
  <c r="R37" i="2"/>
  <c r="X37" i="2"/>
  <c r="AD37" i="2"/>
  <c r="G37" i="2"/>
  <c r="M37" i="2"/>
  <c r="S37" i="2"/>
  <c r="Y37" i="2"/>
  <c r="AE37" i="2"/>
  <c r="H37" i="2"/>
  <c r="N37" i="2"/>
  <c r="T37" i="2"/>
  <c r="Z37" i="2"/>
  <c r="AF37" i="2"/>
  <c r="I37" i="2"/>
  <c r="O37" i="2"/>
  <c r="U37" i="2"/>
  <c r="AA37" i="2"/>
  <c r="AG37" i="2"/>
  <c r="J37" i="2"/>
  <c r="P37" i="2"/>
  <c r="V37" i="2"/>
  <c r="AB37" i="2"/>
  <c r="AH37" i="2"/>
  <c r="E37" i="2"/>
  <c r="K37" i="2"/>
  <c r="Q37" i="2"/>
  <c r="W37" i="2"/>
  <c r="AC37" i="2"/>
  <c r="D38" i="2"/>
  <c r="D37" i="2"/>
  <c r="D40" i="2"/>
  <c r="D39" i="2"/>
  <c r="T48" i="2" l="1"/>
  <c r="AB46" i="2"/>
  <c r="AC46" i="2"/>
  <c r="S46" i="2"/>
  <c r="F48" i="2"/>
  <c r="AF46" i="2"/>
  <c r="H44" i="2"/>
  <c r="U46" i="2"/>
  <c r="J48" i="2"/>
  <c r="N44" i="2"/>
  <c r="L44" i="2"/>
  <c r="Z45" i="2"/>
  <c r="G48" i="2"/>
  <c r="I44" i="2"/>
  <c r="AG48" i="2"/>
  <c r="W44" i="2"/>
  <c r="AA48" i="2"/>
  <c r="AH46" i="2"/>
  <c r="H48" i="2"/>
  <c r="V48" i="2"/>
  <c r="W48" i="2"/>
  <c r="AA44" i="2"/>
  <c r="K44" i="2"/>
  <c r="AD48" i="2"/>
  <c r="O48" i="2"/>
  <c r="M48" i="2"/>
  <c r="I48" i="2"/>
  <c r="AB48" i="2"/>
  <c r="AE48" i="2"/>
  <c r="U48" i="2"/>
  <c r="E48" i="2"/>
  <c r="F46" i="2"/>
  <c r="E46" i="2"/>
  <c r="X48" i="2"/>
  <c r="F44" i="2"/>
  <c r="E44" i="2"/>
  <c r="L45" i="2"/>
  <c r="P48" i="2"/>
  <c r="L48" i="2"/>
  <c r="Z48" i="2"/>
  <c r="AC48" i="2"/>
  <c r="N48" i="2"/>
  <c r="Y48" i="2"/>
  <c r="Q48" i="2"/>
  <c r="K48" i="2"/>
  <c r="R44" i="2"/>
  <c r="P45" i="2"/>
  <c r="G45" i="2"/>
  <c r="E45" i="2"/>
  <c r="V46" i="2"/>
  <c r="F45" i="2"/>
  <c r="AE45" i="2"/>
  <c r="M45" i="2"/>
  <c r="O45" i="2"/>
  <c r="AG45" i="2"/>
  <c r="H45" i="2"/>
  <c r="AB45" i="2"/>
  <c r="AC45" i="2"/>
  <c r="W46" i="2"/>
  <c r="I45" i="2"/>
  <c r="R45" i="2"/>
  <c r="M46" i="2"/>
  <c r="K46" i="2"/>
  <c r="S48" i="2"/>
  <c r="AF48" i="2"/>
  <c r="V45" i="2"/>
  <c r="O46" i="2"/>
  <c r="W45" i="2"/>
  <c r="R48" i="2"/>
  <c r="J45" i="2"/>
  <c r="P46" i="2"/>
  <c r="AA46" i="2"/>
  <c r="T46" i="2"/>
  <c r="P44" i="2"/>
  <c r="V44" i="2"/>
  <c r="S45" i="2"/>
  <c r="Z46" i="2"/>
  <c r="AD44" i="2"/>
  <c r="R46" i="2"/>
  <c r="Q45" i="2"/>
  <c r="Y45" i="2"/>
  <c r="AF45" i="2"/>
  <c r="X46" i="2"/>
  <c r="J46" i="2"/>
  <c r="AA45" i="2"/>
  <c r="T45" i="2"/>
  <c r="X45" i="2"/>
  <c r="T44" i="2"/>
  <c r="N46" i="2"/>
  <c r="K45" i="2"/>
  <c r="AD45" i="2"/>
  <c r="Y46" i="2"/>
  <c r="AE44" i="2"/>
  <c r="O44" i="2"/>
  <c r="AG46" i="2"/>
  <c r="Q46" i="2"/>
  <c r="G46" i="2"/>
  <c r="L46" i="2"/>
  <c r="AE46" i="2"/>
  <c r="U45" i="2"/>
  <c r="N45" i="2"/>
  <c r="G44" i="2"/>
  <c r="Z44" i="2"/>
  <c r="Y44" i="2"/>
  <c r="M44" i="2"/>
  <c r="AH44" i="2"/>
  <c r="X44" i="2"/>
  <c r="Q44" i="2"/>
  <c r="U44" i="2"/>
  <c r="S44" i="2"/>
  <c r="J44" i="2"/>
  <c r="AC51" i="2"/>
  <c r="E50" i="2"/>
  <c r="Z50" i="2"/>
  <c r="H52" i="2"/>
  <c r="AG50" i="2"/>
  <c r="J50" i="2"/>
  <c r="AH52" i="2"/>
  <c r="V51" i="2"/>
  <c r="Y50" i="2"/>
  <c r="AG52" i="2"/>
  <c r="AF52" i="2"/>
  <c r="T52" i="2"/>
  <c r="AE50" i="2"/>
  <c r="M50" i="2"/>
  <c r="F50" i="2"/>
  <c r="AH50" i="2"/>
  <c r="V50" i="2"/>
  <c r="AG51" i="2"/>
  <c r="S52" i="2"/>
  <c r="AD50" i="2"/>
  <c r="AG49" i="2"/>
  <c r="AC50" i="2"/>
  <c r="AE49" i="2"/>
  <c r="AH51" i="2"/>
  <c r="AF51" i="2"/>
  <c r="K50" i="2"/>
  <c r="AB49" i="2"/>
  <c r="S50" i="2"/>
  <c r="O51" i="2"/>
  <c r="L50" i="2"/>
  <c r="AB52" i="2"/>
  <c r="Z49" i="2"/>
  <c r="AA50" i="2"/>
  <c r="Y52" i="2"/>
  <c r="AB50" i="2"/>
  <c r="R50" i="2"/>
  <c r="G52" i="2"/>
  <c r="R52" i="2"/>
  <c r="H49" i="2"/>
  <c r="Q49" i="2"/>
  <c r="T50" i="2"/>
  <c r="X50" i="2"/>
  <c r="N50" i="2"/>
  <c r="U50" i="2"/>
  <c r="AB51" i="2"/>
  <c r="AA51" i="2"/>
  <c r="U51" i="2"/>
  <c r="O49" i="2"/>
  <c r="K51" i="2"/>
  <c r="AA49" i="2"/>
  <c r="H50" i="2"/>
  <c r="AB44" i="2"/>
  <c r="AC44" i="2"/>
  <c r="M52" i="2"/>
  <c r="E51" i="2"/>
  <c r="O50" i="2"/>
  <c r="F51" i="2"/>
  <c r="AD51" i="2"/>
  <c r="N52" i="2"/>
  <c r="U49" i="2"/>
  <c r="J52" i="2"/>
  <c r="AA52" i="2"/>
  <c r="E52" i="2"/>
  <c r="AC52" i="2"/>
  <c r="K52" i="2"/>
  <c r="AD52" i="2"/>
  <c r="W51" i="2"/>
  <c r="F52" i="2"/>
  <c r="G50" i="2"/>
  <c r="Q52" i="2"/>
  <c r="L51" i="2"/>
  <c r="I52" i="2"/>
  <c r="P51" i="2"/>
  <c r="X52" i="2"/>
  <c r="Y49" i="2"/>
  <c r="I50" i="2"/>
  <c r="Z52" i="2"/>
  <c r="Q50" i="2"/>
  <c r="X49" i="2"/>
  <c r="N51" i="2"/>
  <c r="F49" i="2"/>
  <c r="V52" i="2"/>
  <c r="R51" i="2"/>
  <c r="M49" i="2"/>
  <c r="L49" i="2"/>
  <c r="G49" i="2"/>
  <c r="AF50" i="2"/>
  <c r="W50" i="2"/>
  <c r="N49" i="2"/>
  <c r="T49" i="2"/>
  <c r="I49" i="2"/>
  <c r="AH49" i="2"/>
  <c r="W49" i="2"/>
  <c r="AF49" i="2"/>
  <c r="W52" i="2"/>
  <c r="S49" i="2"/>
  <c r="E49" i="2"/>
  <c r="AD49" i="2"/>
  <c r="V49" i="2"/>
  <c r="R49" i="2"/>
  <c r="J49" i="2"/>
  <c r="K49" i="2"/>
  <c r="AC49" i="2"/>
  <c r="P49" i="2"/>
  <c r="L52" i="2"/>
  <c r="J51" i="2"/>
  <c r="I51" i="2"/>
  <c r="X51" i="2"/>
  <c r="AE51" i="2"/>
  <c r="M51" i="2"/>
  <c r="Q51" i="2"/>
  <c r="G51" i="2"/>
  <c r="H51" i="2"/>
  <c r="S51" i="2"/>
  <c r="T51" i="2"/>
  <c r="P50" i="2"/>
  <c r="Z51" i="2"/>
  <c r="Y51" i="2"/>
  <c r="AE52" i="2"/>
  <c r="U52" i="2"/>
  <c r="P52" i="2"/>
  <c r="O52" i="2"/>
  <c r="AF44" i="2" l="1"/>
  <c r="AG44" i="2"/>
</calcChain>
</file>

<file path=xl/sharedStrings.xml><?xml version="1.0" encoding="utf-8"?>
<sst xmlns="http://schemas.openxmlformats.org/spreadsheetml/2006/main" count="31" uniqueCount="29">
  <si>
    <t>Id</t>
  </si>
  <si>
    <t>项目日程表</t>
  </si>
  <si>
    <t>*** 此工作表应保持为隐藏状态 ***</t>
  </si>
  <si>
    <t>今天：</t>
  </si>
  <si>
    <t>窗口活动：</t>
  </si>
  <si>
    <t>计算器窗口启动</t>
  </si>
  <si>
    <t>偏移量</t>
  </si>
  <si>
    <t>开始</t>
  </si>
  <si>
    <t>窗口</t>
  </si>
  <si>
    <t>位置</t>
  </si>
  <si>
    <t>系列</t>
  </si>
  <si>
    <t>活动 ID</t>
  </si>
  <si>
    <t>活动</t>
  </si>
  <si>
    <t>当天</t>
  </si>
  <si>
    <t xml:space="preserve">输入开始日期： </t>
  </si>
  <si>
    <t>结束</t>
  </si>
  <si>
    <t>备注</t>
  </si>
  <si>
    <t>项目开始</t>
  </si>
  <si>
    <t>里程碑 1</t>
  </si>
  <si>
    <t>里程碑 2</t>
  </si>
  <si>
    <t>里程碑 3</t>
  </si>
  <si>
    <t>里程碑 4</t>
  </si>
  <si>
    <t>里程碑 5</t>
  </si>
  <si>
    <t>里程碑 6</t>
  </si>
  <si>
    <t>里程碑 7</t>
  </si>
  <si>
    <t>里程碑 8</t>
  </si>
  <si>
    <t>里程碑 9</t>
  </si>
  <si>
    <t>里程碑 10</t>
  </si>
  <si>
    <t>项目结束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</si>
</sst>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mmm! yyyy"/>
    <numFmt numFmtId="177" formatCode="[$-804]yyyy&quot;年&quot;m&quot;月&quot;"/>
  </numFmts>
  <fonts count="8" x14ac:knownFonts="1">
    <font>
      <sz val="10"/>
      <color theme="3"/>
      <name val="Calibri"/>
      <family val="2"/>
      <scheme val="minor"/>
    </font>
    <font>
      <sz val="10"/>
      <color theme="3"/>
      <name val="Microsoft YaHei UI"/>
      <family val="2"/>
      <charset val="134"/>
    </font>
    <font>
      <sz val="30"/>
      <color theme="0"/>
      <name val="Microsoft YaHei UI"/>
      <family val="2"/>
      <charset val="134"/>
    </font>
    <font>
      <b/>
      <sz val="22"/>
      <color theme="1"/>
      <name val="Microsoft YaHei UI"/>
      <family val="2"/>
      <charset val="134"/>
    </font>
    <font>
      <sz val="14"/>
      <color theme="3" tint="0.39997558519241921"/>
      <name val="Microsoft YaHei UI"/>
      <family val="2"/>
      <charset val="134"/>
    </font>
    <font>
      <sz val="10"/>
      <color theme="3" tint="0.39997558519241921"/>
      <name val="Microsoft YaHei UI"/>
      <family val="2"/>
      <charset val="134"/>
    </font>
    <font>
      <sz val="12"/>
      <color theme="3"/>
      <name val="Microsoft YaHei UI"/>
      <family val="2"/>
      <charset val="134"/>
    </font>
    <font>
      <sz val="9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/>
      <right style="medium">
        <color theme="3"/>
      </right>
      <top/>
      <bottom style="thick">
        <color theme="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1" fillId="3" borderId="1" xfId="0" applyFont="1" applyFill="1" applyBorder="1" applyProtection="1">
      <alignment vertical="center"/>
    </xf>
    <xf numFmtId="0" fontId="1" fillId="2" borderId="1" xfId="0" applyFont="1" applyFill="1" applyBorder="1" applyProtection="1">
      <alignment vertical="center"/>
    </xf>
    <xf numFmtId="0" fontId="2" fillId="3" borderId="1" xfId="0" applyFont="1" applyFill="1" applyBorder="1" applyAlignment="1" applyProtection="1">
      <alignment horizontal="left" vertical="center"/>
    </xf>
    <xf numFmtId="0" fontId="1" fillId="3" borderId="3" xfId="0" applyFont="1" applyFill="1" applyBorder="1" applyProtection="1">
      <alignment vertical="center"/>
    </xf>
    <xf numFmtId="0" fontId="1" fillId="2" borderId="0" xfId="0" applyFont="1" applyFill="1" applyProtection="1">
      <alignment vertical="center"/>
    </xf>
    <xf numFmtId="0" fontId="1" fillId="0" borderId="0" xfId="0" applyFont="1" applyProtection="1">
      <alignment vertical="center"/>
    </xf>
    <xf numFmtId="0" fontId="3" fillId="0" borderId="0" xfId="0" applyFont="1" applyProtection="1">
      <alignment vertical="center"/>
    </xf>
    <xf numFmtId="0" fontId="1" fillId="0" borderId="1" xfId="0" applyFont="1" applyBorder="1" applyProtection="1">
      <alignment vertical="center"/>
    </xf>
    <xf numFmtId="0" fontId="1" fillId="0" borderId="0" xfId="0" applyFont="1" applyFill="1" applyProtection="1">
      <alignment vertical="center"/>
    </xf>
    <xf numFmtId="0" fontId="4" fillId="0" borderId="0" xfId="0" applyFont="1" applyFill="1" applyAlignment="1" applyProtection="1">
      <alignment horizontal="right"/>
    </xf>
    <xf numFmtId="14" fontId="5" fillId="0" borderId="2" xfId="0" applyNumberFormat="1" applyFont="1" applyFill="1" applyBorder="1" applyAlignment="1" applyProtection="1">
      <alignment horizontal="center" vertical="center"/>
    </xf>
    <xf numFmtId="0" fontId="1" fillId="0" borderId="0" xfId="0" applyFont="1" applyFill="1" applyBorder="1" applyProtection="1">
      <alignment vertical="center"/>
    </xf>
    <xf numFmtId="0" fontId="6" fillId="0" borderId="0" xfId="0" applyFont="1" applyFill="1" applyBorder="1" applyAlignment="1" applyProtection="1">
      <alignment horizontal="left" vertical="center" indent="1"/>
    </xf>
    <xf numFmtId="0" fontId="1" fillId="0" borderId="0" xfId="0" applyFont="1" applyFill="1" applyBorder="1" applyAlignment="1" applyProtection="1">
      <alignment horizontal="left" vertical="center" indent="1"/>
    </xf>
    <xf numFmtId="14" fontId="1" fillId="0" borderId="0" xfId="0" applyNumberFormat="1" applyFont="1" applyFill="1" applyBorder="1" applyAlignment="1" applyProtection="1">
      <alignment horizontal="left" vertical="center" indent="1"/>
    </xf>
    <xf numFmtId="0" fontId="1" fillId="0" borderId="0" xfId="0" applyNumberFormat="1" applyFont="1" applyFill="1" applyBorder="1" applyProtection="1">
      <alignment vertical="center"/>
    </xf>
    <xf numFmtId="0" fontId="1" fillId="0" borderId="0" xfId="0" applyFont="1">
      <alignment vertical="center"/>
    </xf>
    <xf numFmtId="14" fontId="1" fillId="0" borderId="0" xfId="0" applyNumberFormat="1" applyFont="1">
      <alignment vertical="center"/>
    </xf>
    <xf numFmtId="16" fontId="1" fillId="0" borderId="0" xfId="0" applyNumberFormat="1" applyFont="1">
      <alignment vertical="center"/>
    </xf>
    <xf numFmtId="176" fontId="1" fillId="0" borderId="0" xfId="0" applyNumberFormat="1" applyFont="1">
      <alignment vertical="center"/>
    </xf>
    <xf numFmtId="177" fontId="1" fillId="0" borderId="0" xfId="0" applyNumberFormat="1" applyFont="1">
      <alignment vertical="center"/>
    </xf>
  </cellXfs>
  <cellStyles count="1">
    <cellStyle name="常规" xfId="0" builtinId="0" customBuiltin="1"/>
  </cellStyles>
  <dxfs count="11">
    <dxf>
      <font>
        <strike val="0"/>
        <outline val="0"/>
        <shadow val="0"/>
        <u val="none"/>
        <vertAlign val="baseline"/>
        <name val="Microsoft YaHei UI"/>
        <scheme val="none"/>
      </font>
      <alignment horizontal="lef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Microsoft YaHei UI"/>
        <scheme val="none"/>
      </font>
      <numFmt numFmtId="178" formatCode="mm/dd/yyyy"/>
      <alignment horizontal="lef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Microsoft YaHei UI"/>
        <scheme val="none"/>
      </font>
      <numFmt numFmtId="178" formatCode="mm/dd/yyyy"/>
      <alignment horizontal="lef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Microsoft YaHei UI"/>
        <scheme val="none"/>
      </font>
      <alignment horizontal="lef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Microsoft YaHei UI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Microsoft YaHei UI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Microsoft YaHei UI"/>
        <scheme val="none"/>
      </font>
      <protection locked="1" hidden="0"/>
    </dxf>
    <dxf>
      <font>
        <color theme="3"/>
      </font>
      <fill>
        <patternFill>
          <bgColor theme="2"/>
        </patternFill>
      </fill>
    </dxf>
    <dxf>
      <font>
        <color theme="3"/>
      </font>
    </dxf>
    <dxf>
      <font>
        <color theme="0"/>
      </font>
      <fill>
        <patternFill patternType="solid">
          <fgColor theme="4"/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color theme="1"/>
      </font>
      <border diagonalUp="0" diagonalDown="0">
        <left/>
        <right/>
        <top/>
        <bottom/>
        <vertical style="thin">
          <color theme="3" tint="0.59996337778862885"/>
        </vertical>
        <horizontal/>
      </border>
    </dxf>
  </dxfs>
  <tableStyles count="1" defaultTableStyle="TableStyleMedium2" defaultPivotStyle="PivotStyleLight8">
    <tableStyle name="Project Timeline" pivot="0" count="4">
      <tableStyleElement type="wholeTable" dxfId="10"/>
      <tableStyleElement type="headerRow" dxfId="9"/>
      <tableStyleElement type="firstRowStripe" dxfId="8"/>
      <tableStyleElement type="secondRowStripe" dxfId="7"/>
    </tableStyle>
  </tableStyles>
  <colors>
    <mruColors>
      <color rgb="FFCCFFCC"/>
      <color rgb="FFD1CBE1"/>
      <color rgb="FFFED9CD"/>
      <color rgb="FFFF5757"/>
      <color rgb="FFFAEBD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"/>
          <c:w val="1"/>
          <c:h val="1"/>
        </c:manualLayout>
      </c:layout>
      <c:lineChart>
        <c:grouping val="standard"/>
        <c:varyColors val="0"/>
        <c:ser>
          <c:idx val="0"/>
          <c:order val="0"/>
          <c:tx>
            <c:strRef>
              <c:f>计算!$B$32</c:f>
              <c:strCache>
                <c:ptCount val="1"/>
                <c:pt idx="0">
                  <c:v>1</c:v>
                </c:pt>
              </c:strCache>
            </c:strRef>
          </c:tx>
          <c:spPr>
            <a:ln w="193675" cap="sq"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square"/>
            <c:size val="14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计算!$E$31:$AH$31</c:f>
              <c:numCache>
                <c:formatCode>m/d/yyyy</c:formatCode>
                <c:ptCount val="30"/>
                <c:pt idx="0">
                  <c:v>41175</c:v>
                </c:pt>
                <c:pt idx="1">
                  <c:v>41176</c:v>
                </c:pt>
                <c:pt idx="2">
                  <c:v>41177</c:v>
                </c:pt>
                <c:pt idx="3">
                  <c:v>41178</c:v>
                </c:pt>
                <c:pt idx="4">
                  <c:v>41179</c:v>
                </c:pt>
                <c:pt idx="5">
                  <c:v>41180</c:v>
                </c:pt>
                <c:pt idx="6">
                  <c:v>41181</c:v>
                </c:pt>
                <c:pt idx="7">
                  <c:v>41182</c:v>
                </c:pt>
                <c:pt idx="8">
                  <c:v>41183</c:v>
                </c:pt>
                <c:pt idx="9">
                  <c:v>41184</c:v>
                </c:pt>
                <c:pt idx="10">
                  <c:v>41185</c:v>
                </c:pt>
                <c:pt idx="11">
                  <c:v>41186</c:v>
                </c:pt>
                <c:pt idx="12">
                  <c:v>41187</c:v>
                </c:pt>
                <c:pt idx="13">
                  <c:v>41188</c:v>
                </c:pt>
                <c:pt idx="14">
                  <c:v>41189</c:v>
                </c:pt>
                <c:pt idx="15">
                  <c:v>41190</c:v>
                </c:pt>
                <c:pt idx="16">
                  <c:v>41191</c:v>
                </c:pt>
                <c:pt idx="17">
                  <c:v>41192</c:v>
                </c:pt>
                <c:pt idx="18">
                  <c:v>41193</c:v>
                </c:pt>
                <c:pt idx="19">
                  <c:v>41194</c:v>
                </c:pt>
                <c:pt idx="20">
                  <c:v>41195</c:v>
                </c:pt>
                <c:pt idx="21">
                  <c:v>41196</c:v>
                </c:pt>
                <c:pt idx="22">
                  <c:v>41197</c:v>
                </c:pt>
                <c:pt idx="23">
                  <c:v>41198</c:v>
                </c:pt>
                <c:pt idx="24">
                  <c:v>41199</c:v>
                </c:pt>
                <c:pt idx="25">
                  <c:v>41200</c:v>
                </c:pt>
                <c:pt idx="26">
                  <c:v>41201</c:v>
                </c:pt>
                <c:pt idx="27">
                  <c:v>41202</c:v>
                </c:pt>
                <c:pt idx="28">
                  <c:v>41203</c:v>
                </c:pt>
                <c:pt idx="29">
                  <c:v>41204</c:v>
                </c:pt>
              </c:numCache>
            </c:numRef>
          </c:cat>
          <c:val>
            <c:numRef>
              <c:f>计算!$E$32:$AH$32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5"/>
          <c:order val="1"/>
          <c:tx>
            <c:strRef>
              <c:f>计算!$D$44</c:f>
              <c:strCache>
                <c:ptCount val="1"/>
                <c:pt idx="0">
                  <c:v>#N/A</c:v>
                </c:pt>
              </c:strCache>
            </c:strRef>
          </c:tx>
          <c:marker>
            <c:symbol val="circle"/>
            <c:size val="9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计算!$E$44:$AH$44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计算!$B$33</c:f>
              <c:strCache>
                <c:ptCount val="1"/>
                <c:pt idx="0">
                  <c:v>2</c:v>
                </c:pt>
              </c:strCache>
            </c:strRef>
          </c:tx>
          <c:spPr>
            <a:ln w="193675" cap="sq"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square"/>
            <c:size val="14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noFill/>
              </a:ln>
            </c:spPr>
          </c:marker>
          <c:cat>
            <c:numRef>
              <c:f>计算!$E$31:$AH$31</c:f>
              <c:numCache>
                <c:formatCode>m/d/yyyy</c:formatCode>
                <c:ptCount val="30"/>
                <c:pt idx="0">
                  <c:v>41175</c:v>
                </c:pt>
                <c:pt idx="1">
                  <c:v>41176</c:v>
                </c:pt>
                <c:pt idx="2">
                  <c:v>41177</c:v>
                </c:pt>
                <c:pt idx="3">
                  <c:v>41178</c:v>
                </c:pt>
                <c:pt idx="4">
                  <c:v>41179</c:v>
                </c:pt>
                <c:pt idx="5">
                  <c:v>41180</c:v>
                </c:pt>
                <c:pt idx="6">
                  <c:v>41181</c:v>
                </c:pt>
                <c:pt idx="7">
                  <c:v>41182</c:v>
                </c:pt>
                <c:pt idx="8">
                  <c:v>41183</c:v>
                </c:pt>
                <c:pt idx="9">
                  <c:v>41184</c:v>
                </c:pt>
                <c:pt idx="10">
                  <c:v>41185</c:v>
                </c:pt>
                <c:pt idx="11">
                  <c:v>41186</c:v>
                </c:pt>
                <c:pt idx="12">
                  <c:v>41187</c:v>
                </c:pt>
                <c:pt idx="13">
                  <c:v>41188</c:v>
                </c:pt>
                <c:pt idx="14">
                  <c:v>41189</c:v>
                </c:pt>
                <c:pt idx="15">
                  <c:v>41190</c:v>
                </c:pt>
                <c:pt idx="16">
                  <c:v>41191</c:v>
                </c:pt>
                <c:pt idx="17">
                  <c:v>41192</c:v>
                </c:pt>
                <c:pt idx="18">
                  <c:v>41193</c:v>
                </c:pt>
                <c:pt idx="19">
                  <c:v>41194</c:v>
                </c:pt>
                <c:pt idx="20">
                  <c:v>41195</c:v>
                </c:pt>
                <c:pt idx="21">
                  <c:v>41196</c:v>
                </c:pt>
                <c:pt idx="22">
                  <c:v>41197</c:v>
                </c:pt>
                <c:pt idx="23">
                  <c:v>41198</c:v>
                </c:pt>
                <c:pt idx="24">
                  <c:v>41199</c:v>
                </c:pt>
                <c:pt idx="25">
                  <c:v>41200</c:v>
                </c:pt>
                <c:pt idx="26">
                  <c:v>41201</c:v>
                </c:pt>
                <c:pt idx="27">
                  <c:v>41202</c:v>
                </c:pt>
                <c:pt idx="28">
                  <c:v>41203</c:v>
                </c:pt>
                <c:pt idx="29">
                  <c:v>41204</c:v>
                </c:pt>
              </c:numCache>
            </c:numRef>
          </c:cat>
          <c:val>
            <c:numRef>
              <c:f>计算!$E$33:$AH$33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6"/>
          <c:order val="3"/>
          <c:tx>
            <c:strRef>
              <c:f>计算!$D$45</c:f>
              <c:strCache>
                <c:ptCount val="1"/>
                <c:pt idx="0">
                  <c:v>#N/A</c:v>
                </c:pt>
              </c:strCache>
            </c:strRef>
          </c:tx>
          <c:marker>
            <c:symbol val="circle"/>
            <c:size val="9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计算!$E$45:$AH$45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4"/>
          <c:tx>
            <c:strRef>
              <c:f>计算!$B$34</c:f>
              <c:strCache>
                <c:ptCount val="1"/>
                <c:pt idx="0">
                  <c:v>3</c:v>
                </c:pt>
              </c:strCache>
            </c:strRef>
          </c:tx>
          <c:spPr>
            <a:ln w="193675" cap="sq"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square"/>
            <c:size val="14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计算!$E$31:$AH$31</c:f>
              <c:numCache>
                <c:formatCode>m/d/yyyy</c:formatCode>
                <c:ptCount val="30"/>
                <c:pt idx="0">
                  <c:v>41175</c:v>
                </c:pt>
                <c:pt idx="1">
                  <c:v>41176</c:v>
                </c:pt>
                <c:pt idx="2">
                  <c:v>41177</c:v>
                </c:pt>
                <c:pt idx="3">
                  <c:v>41178</c:v>
                </c:pt>
                <c:pt idx="4">
                  <c:v>41179</c:v>
                </c:pt>
                <c:pt idx="5">
                  <c:v>41180</c:v>
                </c:pt>
                <c:pt idx="6">
                  <c:v>41181</c:v>
                </c:pt>
                <c:pt idx="7">
                  <c:v>41182</c:v>
                </c:pt>
                <c:pt idx="8">
                  <c:v>41183</c:v>
                </c:pt>
                <c:pt idx="9">
                  <c:v>41184</c:v>
                </c:pt>
                <c:pt idx="10">
                  <c:v>41185</c:v>
                </c:pt>
                <c:pt idx="11">
                  <c:v>41186</c:v>
                </c:pt>
                <c:pt idx="12">
                  <c:v>41187</c:v>
                </c:pt>
                <c:pt idx="13">
                  <c:v>41188</c:v>
                </c:pt>
                <c:pt idx="14">
                  <c:v>41189</c:v>
                </c:pt>
                <c:pt idx="15">
                  <c:v>41190</c:v>
                </c:pt>
                <c:pt idx="16">
                  <c:v>41191</c:v>
                </c:pt>
                <c:pt idx="17">
                  <c:v>41192</c:v>
                </c:pt>
                <c:pt idx="18">
                  <c:v>41193</c:v>
                </c:pt>
                <c:pt idx="19">
                  <c:v>41194</c:v>
                </c:pt>
                <c:pt idx="20">
                  <c:v>41195</c:v>
                </c:pt>
                <c:pt idx="21">
                  <c:v>41196</c:v>
                </c:pt>
                <c:pt idx="22">
                  <c:v>41197</c:v>
                </c:pt>
                <c:pt idx="23">
                  <c:v>41198</c:v>
                </c:pt>
                <c:pt idx="24">
                  <c:v>41199</c:v>
                </c:pt>
                <c:pt idx="25">
                  <c:v>41200</c:v>
                </c:pt>
                <c:pt idx="26">
                  <c:v>41201</c:v>
                </c:pt>
                <c:pt idx="27">
                  <c:v>41202</c:v>
                </c:pt>
                <c:pt idx="28">
                  <c:v>41203</c:v>
                </c:pt>
                <c:pt idx="29">
                  <c:v>41204</c:v>
                </c:pt>
              </c:numCache>
            </c:numRef>
          </c:cat>
          <c:val>
            <c:numRef>
              <c:f>计算!$E$34:$AH$34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7"/>
          <c:order val="5"/>
          <c:tx>
            <c:strRef>
              <c:f>计算!$D$46</c:f>
              <c:strCache>
                <c:ptCount val="1"/>
                <c:pt idx="0">
                  <c:v>#N/A</c:v>
                </c:pt>
              </c:strCache>
            </c:strRef>
          </c:tx>
          <c:spPr>
            <a:ln cap="sq"/>
          </c:spPr>
          <c:marker>
            <c:symbol val="circle"/>
            <c:size val="9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计算!$E$46:$AH$46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3"/>
          <c:order val="6"/>
          <c:tx>
            <c:strRef>
              <c:f>计算!$B$35</c:f>
              <c:strCache>
                <c:ptCount val="1"/>
                <c:pt idx="0">
                  <c:v>4</c:v>
                </c:pt>
              </c:strCache>
            </c:strRef>
          </c:tx>
          <c:spPr>
            <a:ln w="193675" cap="sq"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square"/>
            <c:size val="14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计算!$E$31:$AH$31</c:f>
              <c:numCache>
                <c:formatCode>m/d/yyyy</c:formatCode>
                <c:ptCount val="30"/>
                <c:pt idx="0">
                  <c:v>41175</c:v>
                </c:pt>
                <c:pt idx="1">
                  <c:v>41176</c:v>
                </c:pt>
                <c:pt idx="2">
                  <c:v>41177</c:v>
                </c:pt>
                <c:pt idx="3">
                  <c:v>41178</c:v>
                </c:pt>
                <c:pt idx="4">
                  <c:v>41179</c:v>
                </c:pt>
                <c:pt idx="5">
                  <c:v>41180</c:v>
                </c:pt>
                <c:pt idx="6">
                  <c:v>41181</c:v>
                </c:pt>
                <c:pt idx="7">
                  <c:v>41182</c:v>
                </c:pt>
                <c:pt idx="8">
                  <c:v>41183</c:v>
                </c:pt>
                <c:pt idx="9">
                  <c:v>41184</c:v>
                </c:pt>
                <c:pt idx="10">
                  <c:v>41185</c:v>
                </c:pt>
                <c:pt idx="11">
                  <c:v>41186</c:v>
                </c:pt>
                <c:pt idx="12">
                  <c:v>41187</c:v>
                </c:pt>
                <c:pt idx="13">
                  <c:v>41188</c:v>
                </c:pt>
                <c:pt idx="14">
                  <c:v>41189</c:v>
                </c:pt>
                <c:pt idx="15">
                  <c:v>41190</c:v>
                </c:pt>
                <c:pt idx="16">
                  <c:v>41191</c:v>
                </c:pt>
                <c:pt idx="17">
                  <c:v>41192</c:v>
                </c:pt>
                <c:pt idx="18">
                  <c:v>41193</c:v>
                </c:pt>
                <c:pt idx="19">
                  <c:v>41194</c:v>
                </c:pt>
                <c:pt idx="20">
                  <c:v>41195</c:v>
                </c:pt>
                <c:pt idx="21">
                  <c:v>41196</c:v>
                </c:pt>
                <c:pt idx="22">
                  <c:v>41197</c:v>
                </c:pt>
                <c:pt idx="23">
                  <c:v>41198</c:v>
                </c:pt>
                <c:pt idx="24">
                  <c:v>41199</c:v>
                </c:pt>
                <c:pt idx="25">
                  <c:v>41200</c:v>
                </c:pt>
                <c:pt idx="26">
                  <c:v>41201</c:v>
                </c:pt>
                <c:pt idx="27">
                  <c:v>41202</c:v>
                </c:pt>
                <c:pt idx="28">
                  <c:v>41203</c:v>
                </c:pt>
                <c:pt idx="29">
                  <c:v>41204</c:v>
                </c:pt>
              </c:numCache>
            </c:numRef>
          </c:cat>
          <c:val>
            <c:numRef>
              <c:f>计算!$E$35:$AH$35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8"/>
          <c:order val="7"/>
          <c:tx>
            <c:strRef>
              <c:f>计算!$D$47</c:f>
              <c:strCache>
                <c:ptCount val="1"/>
                <c:pt idx="0">
                  <c:v>#N/A</c:v>
                </c:pt>
              </c:strCache>
            </c:strRef>
          </c:tx>
          <c:marker>
            <c:symbol val="circle"/>
            <c:size val="9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计算!$E$47:$AH$47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4"/>
          <c:order val="8"/>
          <c:tx>
            <c:strRef>
              <c:f>计算!$B$36</c:f>
              <c:strCache>
                <c:ptCount val="1"/>
                <c:pt idx="0">
                  <c:v>5</c:v>
                </c:pt>
              </c:strCache>
            </c:strRef>
          </c:tx>
          <c:spPr>
            <a:ln w="193675" cap="sq"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square"/>
            <c:size val="14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计算!$E$31:$AH$31</c:f>
              <c:numCache>
                <c:formatCode>m/d/yyyy</c:formatCode>
                <c:ptCount val="30"/>
                <c:pt idx="0">
                  <c:v>41175</c:v>
                </c:pt>
                <c:pt idx="1">
                  <c:v>41176</c:v>
                </c:pt>
                <c:pt idx="2">
                  <c:v>41177</c:v>
                </c:pt>
                <c:pt idx="3">
                  <c:v>41178</c:v>
                </c:pt>
                <c:pt idx="4">
                  <c:v>41179</c:v>
                </c:pt>
                <c:pt idx="5">
                  <c:v>41180</c:v>
                </c:pt>
                <c:pt idx="6">
                  <c:v>41181</c:v>
                </c:pt>
                <c:pt idx="7">
                  <c:v>41182</c:v>
                </c:pt>
                <c:pt idx="8">
                  <c:v>41183</c:v>
                </c:pt>
                <c:pt idx="9">
                  <c:v>41184</c:v>
                </c:pt>
                <c:pt idx="10">
                  <c:v>41185</c:v>
                </c:pt>
                <c:pt idx="11">
                  <c:v>41186</c:v>
                </c:pt>
                <c:pt idx="12">
                  <c:v>41187</c:v>
                </c:pt>
                <c:pt idx="13">
                  <c:v>41188</c:v>
                </c:pt>
                <c:pt idx="14">
                  <c:v>41189</c:v>
                </c:pt>
                <c:pt idx="15">
                  <c:v>41190</c:v>
                </c:pt>
                <c:pt idx="16">
                  <c:v>41191</c:v>
                </c:pt>
                <c:pt idx="17">
                  <c:v>41192</c:v>
                </c:pt>
                <c:pt idx="18">
                  <c:v>41193</c:v>
                </c:pt>
                <c:pt idx="19">
                  <c:v>41194</c:v>
                </c:pt>
                <c:pt idx="20">
                  <c:v>41195</c:v>
                </c:pt>
                <c:pt idx="21">
                  <c:v>41196</c:v>
                </c:pt>
                <c:pt idx="22">
                  <c:v>41197</c:v>
                </c:pt>
                <c:pt idx="23">
                  <c:v>41198</c:v>
                </c:pt>
                <c:pt idx="24">
                  <c:v>41199</c:v>
                </c:pt>
                <c:pt idx="25">
                  <c:v>41200</c:v>
                </c:pt>
                <c:pt idx="26">
                  <c:v>41201</c:v>
                </c:pt>
                <c:pt idx="27">
                  <c:v>41202</c:v>
                </c:pt>
                <c:pt idx="28">
                  <c:v>41203</c:v>
                </c:pt>
                <c:pt idx="29">
                  <c:v>41204</c:v>
                </c:pt>
              </c:numCache>
            </c:numRef>
          </c:cat>
          <c:val>
            <c:numRef>
              <c:f>计算!$E$36:$AH$36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7.3000000000000007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计算!$D$48</c:f>
              <c:strCache>
                <c:ptCount val="1"/>
                <c:pt idx="0">
                  <c:v>项目开始</c:v>
                </c:pt>
              </c:strCache>
            </c:strRef>
          </c:tx>
          <c:marker>
            <c:symbol val="circle"/>
            <c:size val="9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计算!$E$48:$AH$48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7.3000000000000007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计算!$B$37</c:f>
              <c:strCache>
                <c:ptCount val="1"/>
                <c:pt idx="0">
                  <c:v>6</c:v>
                </c:pt>
              </c:strCache>
            </c:strRef>
          </c:tx>
          <c:spPr>
            <a:ln w="193675" cap="sq"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square"/>
            <c:size val="14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</c:spPr>
          </c:marker>
          <c:val>
            <c:numRef>
              <c:f>计算!$E$37:$AH$37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6.3000000000000007</c:v>
                </c:pt>
                <c:pt idx="14">
                  <c:v>6.3000000000000007</c:v>
                </c:pt>
                <c:pt idx="15">
                  <c:v>6.3000000000000007</c:v>
                </c:pt>
                <c:pt idx="16">
                  <c:v>6.3000000000000007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计算!$D$49</c:f>
              <c:strCache>
                <c:ptCount val="1"/>
                <c:pt idx="0">
                  <c:v>里程碑 1</c:v>
                </c:pt>
              </c:strCache>
            </c:strRef>
          </c:tx>
          <c:marker>
            <c:symbol val="circle"/>
            <c:size val="9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计算!$E$49:$AH$49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6.3000000000000007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计算!$B$38</c:f>
              <c:strCache>
                <c:ptCount val="1"/>
                <c:pt idx="0">
                  <c:v>7</c:v>
                </c:pt>
              </c:strCache>
            </c:strRef>
          </c:tx>
          <c:spPr>
            <a:ln w="193675" cap="sq"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square"/>
            <c:size val="14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</c:spPr>
          </c:marker>
          <c:val>
            <c:numRef>
              <c:f>计算!$E$38:$AH$38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5.3000000000000007</c:v>
                </c:pt>
                <c:pt idx="15">
                  <c:v>5.3000000000000007</c:v>
                </c:pt>
                <c:pt idx="16">
                  <c:v>5.3000000000000007</c:v>
                </c:pt>
                <c:pt idx="17">
                  <c:v>5.3000000000000007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计算!$D$50</c:f>
              <c:strCache>
                <c:ptCount val="1"/>
                <c:pt idx="0">
                  <c:v>里程碑 2</c:v>
                </c:pt>
              </c:strCache>
            </c:strRef>
          </c:tx>
          <c:marker>
            <c:symbol val="circle"/>
            <c:size val="9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计算!$E$50:$AH$50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5.3000000000000007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计算!$B$39</c:f>
              <c:strCache>
                <c:ptCount val="1"/>
                <c:pt idx="0">
                  <c:v>8</c:v>
                </c:pt>
              </c:strCache>
            </c:strRef>
          </c:tx>
          <c:spPr>
            <a:ln w="193675" cap="sq"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square"/>
            <c:size val="14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</c:spPr>
          </c:marker>
          <c:val>
            <c:numRef>
              <c:f>计算!$E$39:$AH$39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4.3000000000000007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计算!$D$51</c:f>
              <c:strCache>
                <c:ptCount val="1"/>
                <c:pt idx="0">
                  <c:v>里程碑 3</c:v>
                </c:pt>
              </c:strCache>
            </c:strRef>
          </c:tx>
          <c:spPr>
            <a:ln cap="sq"/>
          </c:spPr>
          <c:marker>
            <c:symbol val="circle"/>
            <c:size val="9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计算!$E$51:$AH$51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4.3000000000000007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计算!$B$40</c:f>
              <c:strCache>
                <c:ptCount val="1"/>
                <c:pt idx="0">
                  <c:v>9</c:v>
                </c:pt>
              </c:strCache>
            </c:strRef>
          </c:tx>
          <c:spPr>
            <a:ln w="193675" cap="sq"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square"/>
            <c:size val="14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</c:spPr>
          </c:marker>
          <c:val>
            <c:numRef>
              <c:f>计算!$E$40:$AH$40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3.3000000000000007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计算!$D$52</c:f>
              <c:strCache>
                <c:ptCount val="1"/>
                <c:pt idx="0">
                  <c:v>里程碑 4</c:v>
                </c:pt>
              </c:strCache>
            </c:strRef>
          </c:tx>
          <c:marker>
            <c:symbol val="circle"/>
            <c:size val="9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计算!$E$52:$AH$52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18"/>
          <c:order val="18"/>
          <c:tx>
            <c:v>Today</c:v>
          </c:tx>
          <c:marker>
            <c:symbol val="none"/>
          </c:marker>
          <c:errBars>
            <c:errDir val="y"/>
            <c:errBarType val="both"/>
            <c:errValType val="fixedVal"/>
            <c:noEndCap val="0"/>
            <c:val val="10"/>
            <c:spPr>
              <a:ln w="263525">
                <a:solidFill>
                  <a:schemeClr val="bg1">
                    <a:lumMod val="95000"/>
                  </a:schemeClr>
                </a:solidFill>
              </a:ln>
            </c:spPr>
          </c:errBars>
          <c:val>
            <c:numRef>
              <c:f>计算!$E$56:$AH$56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计算!$D$58</c:f>
              <c:strCache>
                <c:ptCount val="1"/>
                <c:pt idx="0">
                  <c:v>2012年9月</c:v>
                </c:pt>
              </c:strCache>
            </c:strRef>
          </c:tx>
          <c:spPr>
            <a:ln w="228600" cap="sq">
              <a:solidFill>
                <a:schemeClr val="accent3"/>
              </a:solidFill>
            </a:ln>
          </c:spPr>
          <c:marker>
            <c:symbol val="none"/>
          </c:marker>
          <c:val>
            <c:numRef>
              <c:f>计算!$E$58:$AH$58</c:f>
              <c:numCache>
                <c:formatCode>General</c:formatCode>
                <c:ptCount val="30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计算!$D$61</c:f>
              <c:strCache>
                <c:ptCount val="1"/>
                <c:pt idx="0">
                  <c:v>2012年10月</c:v>
                </c:pt>
              </c:strCache>
            </c:strRef>
          </c:tx>
          <c:spPr>
            <a:ln w="228600" cap="sq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计算!$E$61:$AH$61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计算!$D$66</c:f>
              <c:strCache>
                <c:ptCount val="1"/>
                <c:pt idx="0">
                  <c:v>2012年10月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计算!$E$66:$AH$66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0.5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计算!$D$65</c:f>
              <c:strCache>
                <c:ptCount val="1"/>
                <c:pt idx="0">
                  <c:v>2012年9月</c:v>
                </c:pt>
              </c:strCache>
            </c:strRef>
          </c:tx>
          <c:spPr>
            <a:ln w="209550" cap="sq"/>
          </c:spPr>
          <c:marker>
            <c:symbol val="none"/>
          </c:marker>
          <c:dPt>
            <c:idx val="2"/>
            <c:bubble3D val="0"/>
            <c:spPr>
              <a:ln w="28575" cap="sq"/>
            </c:spPr>
          </c:dPt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计算!$E$65:$AH$65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4"/>
          <c:order val="23"/>
          <c:tx>
            <c:v>Day Dot Line</c:v>
          </c:tx>
          <c:spPr>
            <a:ln w="15875">
              <a:solidFill>
                <a:schemeClr val="tx2"/>
              </a:solidFill>
            </a:ln>
          </c:spPr>
          <c:marker>
            <c:symbol val="circle"/>
            <c:size val="5"/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/>
              <c:tx>
                <c:strRef>
                  <c:f>计算!$E$72</c:f>
                  <c:strCache>
                    <c:ptCount val="1"/>
                    <c:pt idx="0">
                      <c:v>23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{CBB0DEF1-C793-452B-900A-125DB67194F2}</c15:txfldGUID>
                      <c15:f>计算!$E$72</c15:f>
                      <c15:dlblFieldTableCache>
                        <c:ptCount val="1"/>
                        <c:pt idx="0">
                          <c:v>23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layout/>
              <c:tx>
                <c:strRef>
                  <c:f>计算!$F$72</c:f>
                  <c:strCache>
                    <c:ptCount val="1"/>
                    <c:pt idx="0">
                      <c:v>24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{1DA9833C-D13D-4063-B7B4-812825228295}</c15:txfldGUID>
                      <c15:f>计算!$F$72</c15:f>
                      <c15:dlblFieldTableCache>
                        <c:ptCount val="1"/>
                        <c:pt idx="0">
                          <c:v>24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layout/>
              <c:tx>
                <c:strRef>
                  <c:f>计算!$G$72</c:f>
                  <c:strCache>
                    <c:ptCount val="1"/>
                    <c:pt idx="0">
                      <c:v>25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{6DD9E5EC-27CC-42E1-9873-3DFC65CB2814}</c15:txfldGUID>
                      <c15:f>计算!$G$72</c15:f>
                      <c15:dlblFieldTableCache>
                        <c:ptCount val="1"/>
                        <c:pt idx="0">
                          <c:v>25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layout/>
              <c:tx>
                <c:strRef>
                  <c:f>计算!$H$72</c:f>
                  <c:strCache>
                    <c:ptCount val="1"/>
                    <c:pt idx="0">
                      <c:v>26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{18C562EB-685B-4CC9-B9A4-2867C30B0318}</c15:txfldGUID>
                      <c15:f>计算!$H$72</c15:f>
                      <c15:dlblFieldTableCache>
                        <c:ptCount val="1"/>
                        <c:pt idx="0">
                          <c:v>26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layout/>
              <c:tx>
                <c:strRef>
                  <c:f>计算!$I$72</c:f>
                  <c:strCache>
                    <c:ptCount val="1"/>
                    <c:pt idx="0">
                      <c:v>27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{436C4A25-297A-4039-A3D1-E1DB518179CD}</c15:txfldGUID>
                      <c15:f>计算!$I$72</c15:f>
                      <c15:dlblFieldTableCache>
                        <c:ptCount val="1"/>
                        <c:pt idx="0">
                          <c:v>27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layout/>
              <c:tx>
                <c:strRef>
                  <c:f>计算!$J$72</c:f>
                  <c:strCache>
                    <c:ptCount val="1"/>
                    <c:pt idx="0">
                      <c:v>28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{FC6D8505-3341-49A9-93E1-DCBB8E66F1F1}</c15:txfldGUID>
                      <c15:f>计算!$J$72</c15:f>
                      <c15:dlblFieldTableCache>
                        <c:ptCount val="1"/>
                        <c:pt idx="0">
                          <c:v>28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layout/>
              <c:tx>
                <c:strRef>
                  <c:f>计算!$K$72</c:f>
                  <c:strCache>
                    <c:ptCount val="1"/>
                    <c:pt idx="0">
                      <c:v>29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{F8EFEBCF-3F3B-41D4-840C-0C56CF2A0259}</c15:txfldGUID>
                      <c15:f>计算!$K$72</c15:f>
                      <c15:dlblFieldTableCache>
                        <c:ptCount val="1"/>
                        <c:pt idx="0">
                          <c:v>29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layout/>
              <c:tx>
                <c:strRef>
                  <c:f>计算!$L$72</c:f>
                  <c:strCache>
                    <c:ptCount val="1"/>
                    <c:pt idx="0">
                      <c:v>30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{EBDAEB26-654A-42C3-8126-7235BDDF3697}</c15:txfldGUID>
                      <c15:f>计算!$L$72</c15:f>
                      <c15:dlblFieldTableCache>
                        <c:ptCount val="1"/>
                        <c:pt idx="0">
                          <c:v>30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layout/>
              <c:tx>
                <c:strRef>
                  <c:f>计算!$M$72</c:f>
                  <c:strCache>
                    <c:ptCount val="1"/>
                    <c:pt idx="0">
                      <c:v>01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{79901245-CC9D-4248-AC93-3617A443507A}</c15:txfldGUID>
                      <c15:f>计算!$M$72</c15:f>
                      <c15:dlblFieldTableCache>
                        <c:ptCount val="1"/>
                        <c:pt idx="0">
                          <c:v>01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layout/>
              <c:tx>
                <c:strRef>
                  <c:f>计算!$N$72</c:f>
                  <c:strCache>
                    <c:ptCount val="1"/>
                    <c:pt idx="0">
                      <c:v>02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{2CBFDFAF-ACA3-4871-8973-B0E265D1BE00}</c15:txfldGUID>
                      <c15:f>计算!$N$72</c15:f>
                      <c15:dlblFieldTableCache>
                        <c:ptCount val="1"/>
                        <c:pt idx="0">
                          <c:v>02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layout/>
              <c:tx>
                <c:strRef>
                  <c:f>计算!$O$72</c:f>
                  <c:strCache>
                    <c:ptCount val="1"/>
                    <c:pt idx="0">
                      <c:v>03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{7F421717-0B01-44CC-A285-CC1DF00A9DC4}</c15:txfldGUID>
                      <c15:f>计算!$O$72</c15:f>
                      <c15:dlblFieldTableCache>
                        <c:ptCount val="1"/>
                        <c:pt idx="0">
                          <c:v>03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layout/>
              <c:tx>
                <c:strRef>
                  <c:f>计算!$P$72</c:f>
                  <c:strCache>
                    <c:ptCount val="1"/>
                    <c:pt idx="0">
                      <c:v>04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{BF17F948-D52F-4C84-B363-90D6FB046291}</c15:txfldGUID>
                      <c15:f>计算!$P$72</c15:f>
                      <c15:dlblFieldTableCache>
                        <c:ptCount val="1"/>
                        <c:pt idx="0">
                          <c:v>04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layout/>
              <c:tx>
                <c:strRef>
                  <c:f>计算!$Q$72</c:f>
                  <c:strCache>
                    <c:ptCount val="1"/>
                    <c:pt idx="0">
                      <c:v>05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{56403963-1971-4F10-8AFD-F7AF4BBD3855}</c15:txfldGUID>
                      <c15:f>计算!$Q$72</c15:f>
                      <c15:dlblFieldTableCache>
                        <c:ptCount val="1"/>
                        <c:pt idx="0">
                          <c:v>05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layout/>
              <c:tx>
                <c:strRef>
                  <c:f>计算!$R$72</c:f>
                  <c:strCache>
                    <c:ptCount val="1"/>
                    <c:pt idx="0">
                      <c:v>06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{92B68807-C0AB-4412-9972-14AB5F1E154E}</c15:txfldGUID>
                      <c15:f>计算!$R$72</c15:f>
                      <c15:dlblFieldTableCache>
                        <c:ptCount val="1"/>
                        <c:pt idx="0">
                          <c:v>06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layout/>
              <c:tx>
                <c:strRef>
                  <c:f>计算!$S$72</c:f>
                  <c:strCache>
                    <c:ptCount val="1"/>
                    <c:pt idx="0">
                      <c:v>07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{FFC3738A-83E4-4347-85ED-C2C325A48F88}</c15:txfldGUID>
                      <c15:f>计算!$S$72</c15:f>
                      <c15:dlblFieldTableCache>
                        <c:ptCount val="1"/>
                        <c:pt idx="0">
                          <c:v>07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layout/>
              <c:tx>
                <c:strRef>
                  <c:f>计算!$T$72</c:f>
                  <c:strCache>
                    <c:ptCount val="1"/>
                    <c:pt idx="0">
                      <c:v>08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{52F4E7E8-20B7-4006-B365-F07953E64430}</c15:txfldGUID>
                      <c15:f>计算!$T$72</c15:f>
                      <c15:dlblFieldTableCache>
                        <c:ptCount val="1"/>
                        <c:pt idx="0">
                          <c:v>08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layout/>
              <c:tx>
                <c:strRef>
                  <c:f>计算!$U$72</c:f>
                  <c:strCache>
                    <c:ptCount val="1"/>
                    <c:pt idx="0">
                      <c:v>09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{04BD6571-4F58-46A1-A024-7164198420C1}</c15:txfldGUID>
                      <c15:f>计算!$U$72</c15:f>
                      <c15:dlblFieldTableCache>
                        <c:ptCount val="1"/>
                        <c:pt idx="0">
                          <c:v>09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layout/>
              <c:tx>
                <c:strRef>
                  <c:f>计算!$V$72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{C20BAAD8-A47E-47C6-BC0B-0115CD1CCB6F}</c15:txfldGUID>
                      <c15:f>计算!$V$72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layout/>
              <c:tx>
                <c:strRef>
                  <c:f>计算!$W$72</c:f>
                  <c:strCache>
                    <c:ptCount val="1"/>
                    <c:pt idx="0">
                      <c:v>11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{47E28429-4208-470A-A176-756EFBB17B3D}</c15:txfldGUID>
                      <c15:f>计算!$W$72</c15:f>
                      <c15:dlblFieldTableCache>
                        <c:ptCount val="1"/>
                        <c:pt idx="0">
                          <c:v>11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layout/>
              <c:tx>
                <c:strRef>
                  <c:f>计算!$X$72</c:f>
                  <c:strCache>
                    <c:ptCount val="1"/>
                    <c:pt idx="0">
                      <c:v>12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{6F6626FA-09B2-4689-A8AA-9ABE995A343B}</c15:txfldGUID>
                      <c15:f>计算!$X$72</c15:f>
                      <c15:dlblFieldTableCache>
                        <c:ptCount val="1"/>
                        <c:pt idx="0">
                          <c:v>12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layout/>
              <c:tx>
                <c:strRef>
                  <c:f>计算!$Y$72</c:f>
                  <c:strCache>
                    <c:ptCount val="1"/>
                    <c:pt idx="0">
                      <c:v>13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{57BE914D-AAC0-4C7D-97D8-BB7DC982F28D}</c15:txfldGUID>
                      <c15:f>计算!$Y$72</c15:f>
                      <c15:dlblFieldTableCache>
                        <c:ptCount val="1"/>
                        <c:pt idx="0">
                          <c:v>13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layout/>
              <c:tx>
                <c:strRef>
                  <c:f>计算!$Z$72</c:f>
                  <c:strCache>
                    <c:ptCount val="1"/>
                    <c:pt idx="0">
                      <c:v>14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{ACFEA912-2A87-49AC-A621-CE4DEAC20A09}</c15:txfldGUID>
                      <c15:f>计算!$Z$72</c15:f>
                      <c15:dlblFieldTableCache>
                        <c:ptCount val="1"/>
                        <c:pt idx="0">
                          <c:v>14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layout/>
              <c:tx>
                <c:strRef>
                  <c:f>计算!$AA$72</c:f>
                  <c:strCache>
                    <c:ptCount val="1"/>
                    <c:pt idx="0">
                      <c:v>15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{DB9F572C-96AF-4D10-80BC-6434069BFE71}</c15:txfldGUID>
                      <c15:f>计算!$AA$72</c15:f>
                      <c15:dlblFieldTableCache>
                        <c:ptCount val="1"/>
                        <c:pt idx="0">
                          <c:v>15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layout/>
              <c:tx>
                <c:strRef>
                  <c:f>计算!$AB$72</c:f>
                  <c:strCache>
                    <c:ptCount val="1"/>
                    <c:pt idx="0">
                      <c:v>16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{103E6706-3F21-41D0-BA8B-B61883B91AE7}</c15:txfldGUID>
                      <c15:f>计算!$AB$72</c15:f>
                      <c15:dlblFieldTableCache>
                        <c:ptCount val="1"/>
                        <c:pt idx="0">
                          <c:v>16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layout/>
              <c:tx>
                <c:strRef>
                  <c:f>计算!$AC$72</c:f>
                  <c:strCache>
                    <c:ptCount val="1"/>
                    <c:pt idx="0">
                      <c:v>17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{59E4DB5B-48B5-450C-8476-CC4C0D04D0C6}</c15:txfldGUID>
                      <c15:f>计算!$AC$72</c15:f>
                      <c15:dlblFieldTableCache>
                        <c:ptCount val="1"/>
                        <c:pt idx="0">
                          <c:v>17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layout/>
              <c:tx>
                <c:strRef>
                  <c:f>计算!$AD$72</c:f>
                  <c:strCache>
                    <c:ptCount val="1"/>
                    <c:pt idx="0">
                      <c:v>18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{9642F84F-1469-4ED0-BE76-9CD0D1766F22}</c15:txfldGUID>
                      <c15:f>计算!$AD$72</c15:f>
                      <c15:dlblFieldTableCache>
                        <c:ptCount val="1"/>
                        <c:pt idx="0">
                          <c:v>18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layout/>
              <c:tx>
                <c:strRef>
                  <c:f>计算!$AE$72</c:f>
                  <c:strCache>
                    <c:ptCount val="1"/>
                    <c:pt idx="0">
                      <c:v>19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{9B73D79B-A995-4110-9F32-072DED67D0FD}</c15:txfldGUID>
                      <c15:f>计算!$AE$72</c15:f>
                      <c15:dlblFieldTableCache>
                        <c:ptCount val="1"/>
                        <c:pt idx="0">
                          <c:v>19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layout/>
              <c:tx>
                <c:strRef>
                  <c:f>计算!$AF$72</c:f>
                  <c:strCache>
                    <c:ptCount val="1"/>
                    <c:pt idx="0">
                      <c:v>20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{3AD3AB76-852C-433B-9FA3-4471F8BB471E}</c15:txfldGUID>
                      <c15:f>计算!$AF$72</c15:f>
                      <c15:dlblFieldTableCache>
                        <c:ptCount val="1"/>
                        <c:pt idx="0">
                          <c:v>20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layout/>
              <c:tx>
                <c:strRef>
                  <c:f>计算!$AG$72</c:f>
                  <c:strCache>
                    <c:ptCount val="1"/>
                    <c:pt idx="0">
                      <c:v>21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{DF84547F-1540-406D-918A-C30EDD9F3D5D}</c15:txfldGUID>
                      <c15:f>计算!$AG$72</c15:f>
                      <c15:dlblFieldTableCache>
                        <c:ptCount val="1"/>
                        <c:pt idx="0">
                          <c:v>21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layout/>
              <c:tx>
                <c:strRef>
                  <c:f>计算!$AH$72</c:f>
                  <c:strCache>
                    <c:ptCount val="1"/>
                    <c:pt idx="0">
                      <c:v>22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{06197734-10DA-4665-AF0A-50E936E2D91C}</c15:txfldGUID>
                      <c15:f>计算!$AH$72</c15:f>
                      <c15:dlblFieldTableCache>
                        <c:ptCount val="1"/>
                        <c:pt idx="0">
                          <c:v>22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计算!$E$71:$AH$71</c:f>
              <c:numCache>
                <c:formatCode>General</c:formatCode>
                <c:ptCount val="30"/>
                <c:pt idx="0">
                  <c:v>1.3</c:v>
                </c:pt>
                <c:pt idx="1">
                  <c:v>1.3</c:v>
                </c:pt>
                <c:pt idx="2">
                  <c:v>1.3</c:v>
                </c:pt>
                <c:pt idx="3">
                  <c:v>1.3</c:v>
                </c:pt>
                <c:pt idx="4">
                  <c:v>1.3</c:v>
                </c:pt>
                <c:pt idx="5">
                  <c:v>1.3</c:v>
                </c:pt>
                <c:pt idx="6">
                  <c:v>1.3</c:v>
                </c:pt>
                <c:pt idx="7">
                  <c:v>1.3</c:v>
                </c:pt>
                <c:pt idx="8">
                  <c:v>1.3</c:v>
                </c:pt>
                <c:pt idx="9">
                  <c:v>1.3</c:v>
                </c:pt>
                <c:pt idx="10">
                  <c:v>1.3</c:v>
                </c:pt>
                <c:pt idx="11">
                  <c:v>1.3</c:v>
                </c:pt>
                <c:pt idx="12">
                  <c:v>1.3</c:v>
                </c:pt>
                <c:pt idx="13">
                  <c:v>1.3</c:v>
                </c:pt>
                <c:pt idx="14">
                  <c:v>1.3</c:v>
                </c:pt>
                <c:pt idx="15">
                  <c:v>1.3</c:v>
                </c:pt>
                <c:pt idx="16">
                  <c:v>1.3</c:v>
                </c:pt>
                <c:pt idx="17">
                  <c:v>1.3</c:v>
                </c:pt>
                <c:pt idx="18">
                  <c:v>1.3</c:v>
                </c:pt>
                <c:pt idx="19">
                  <c:v>1.3</c:v>
                </c:pt>
                <c:pt idx="20">
                  <c:v>1.3</c:v>
                </c:pt>
                <c:pt idx="21">
                  <c:v>1.3</c:v>
                </c:pt>
                <c:pt idx="22">
                  <c:v>1.3</c:v>
                </c:pt>
                <c:pt idx="23">
                  <c:v>1.3</c:v>
                </c:pt>
                <c:pt idx="24">
                  <c:v>1.3</c:v>
                </c:pt>
                <c:pt idx="25">
                  <c:v>1.3</c:v>
                </c:pt>
                <c:pt idx="26">
                  <c:v>1.3</c:v>
                </c:pt>
                <c:pt idx="27">
                  <c:v>1.3</c:v>
                </c:pt>
                <c:pt idx="28">
                  <c:v>1.3</c:v>
                </c:pt>
                <c:pt idx="29">
                  <c:v>1.3</c:v>
                </c:pt>
              </c:numCache>
            </c:numRef>
          </c:val>
          <c:smooth val="0"/>
        </c:ser>
        <c:ser>
          <c:idx val="23"/>
          <c:order val="24"/>
          <c:tx>
            <c:v>Day Dot Line For Text Labels</c:v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4260067928190202E-2"/>
                  <c:y val="0"/>
                </c:manualLayout>
              </c:layout>
              <c:tx>
                <c:strRef>
                  <c:f>计算!$E$70</c:f>
                  <c:strCache>
                    <c:ptCount val="1"/>
                    <c:pt idx="0">
                      <c:v>周日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{179420D4-DFA9-49EA-8114-1F16B7255B25}</c15:txfldGUID>
                      <c15:f>计算!$E$70</c15:f>
                      <c15:dlblFieldTableCache>
                        <c:ptCount val="1"/>
                        <c:pt idx="0">
                          <c:v>周日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layout/>
              <c:tx>
                <c:strRef>
                  <c:f>计算!$F$70</c:f>
                  <c:strCache>
                    <c:ptCount val="1"/>
                    <c:pt idx="0">
                      <c:v>周一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{85B02AAB-C62F-4239-84B2-488ABEC9B950}</c15:txfldGUID>
                      <c15:f>计算!$F$70</c15:f>
                      <c15:dlblFieldTableCache>
                        <c:ptCount val="1"/>
                        <c:pt idx="0">
                          <c:v>周一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layout/>
              <c:tx>
                <c:strRef>
                  <c:f>计算!$G$70</c:f>
                  <c:strCache>
                    <c:ptCount val="1"/>
                    <c:pt idx="0">
                      <c:v>周二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{5E818927-0EE7-48D2-B408-FE2BF5A7FFAE}</c15:txfldGUID>
                      <c15:f>计算!$G$70</c15:f>
                      <c15:dlblFieldTableCache>
                        <c:ptCount val="1"/>
                        <c:pt idx="0">
                          <c:v>周二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layout/>
              <c:tx>
                <c:strRef>
                  <c:f>计算!$H$70</c:f>
                  <c:strCache>
                    <c:ptCount val="1"/>
                    <c:pt idx="0">
                      <c:v>周三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{2E1CC10E-21A3-41C1-A0AA-26C1C64F16CB}</c15:txfldGUID>
                      <c15:f>计算!$H$70</c15:f>
                      <c15:dlblFieldTableCache>
                        <c:ptCount val="1"/>
                        <c:pt idx="0">
                          <c:v>周三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layout/>
              <c:tx>
                <c:strRef>
                  <c:f>计算!$I$70</c:f>
                  <c:strCache>
                    <c:ptCount val="1"/>
                    <c:pt idx="0">
                      <c:v>周四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{FA42D409-3F47-40DF-AB5A-E6D21E42F503}</c15:txfldGUID>
                      <c15:f>计算!$I$70</c15:f>
                      <c15:dlblFieldTableCache>
                        <c:ptCount val="1"/>
                        <c:pt idx="0">
                          <c:v>周四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layout/>
              <c:tx>
                <c:strRef>
                  <c:f>计算!$J$70</c:f>
                  <c:strCache>
                    <c:ptCount val="1"/>
                    <c:pt idx="0">
                      <c:v>周五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{0DC4F16D-06A6-4939-8BB5-A26167A0D4C5}</c15:txfldGUID>
                      <c15:f>计算!$J$70</c15:f>
                      <c15:dlblFieldTableCache>
                        <c:ptCount val="1"/>
                        <c:pt idx="0">
                          <c:v>周五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layout/>
              <c:tx>
                <c:strRef>
                  <c:f>计算!$K$70</c:f>
                  <c:strCache>
                    <c:ptCount val="1"/>
                    <c:pt idx="0">
                      <c:v>周六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{4D754163-F1A5-47C4-9E3C-6174864422D3}</c15:txfldGUID>
                      <c15:f>计算!$K$70</c15:f>
                      <c15:dlblFieldTableCache>
                        <c:ptCount val="1"/>
                        <c:pt idx="0">
                          <c:v>周六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layout/>
              <c:tx>
                <c:strRef>
                  <c:f>计算!$L$70</c:f>
                  <c:strCache>
                    <c:ptCount val="1"/>
                    <c:pt idx="0">
                      <c:v>周日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{90264692-8241-4E85-9C02-C064D35FE4F7}</c15:txfldGUID>
                      <c15:f>计算!$L$70</c15:f>
                      <c15:dlblFieldTableCache>
                        <c:ptCount val="1"/>
                        <c:pt idx="0">
                          <c:v>周日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layout/>
              <c:tx>
                <c:strRef>
                  <c:f>计算!$M$70</c:f>
                  <c:strCache>
                    <c:ptCount val="1"/>
                    <c:pt idx="0">
                      <c:v>周一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{E781F852-F088-4787-8933-35A65A9D1191}</c15:txfldGUID>
                      <c15:f>计算!$M$70</c15:f>
                      <c15:dlblFieldTableCache>
                        <c:ptCount val="1"/>
                        <c:pt idx="0">
                          <c:v>周一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layout/>
              <c:tx>
                <c:strRef>
                  <c:f>计算!$N$70</c:f>
                  <c:strCache>
                    <c:ptCount val="1"/>
                    <c:pt idx="0">
                      <c:v>周二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{556602C4-8521-47D9-91C7-6C616F98AB93}</c15:txfldGUID>
                      <c15:f>计算!$N$70</c15:f>
                      <c15:dlblFieldTableCache>
                        <c:ptCount val="1"/>
                        <c:pt idx="0">
                          <c:v>周二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layout/>
              <c:tx>
                <c:strRef>
                  <c:f>计算!$O$70</c:f>
                  <c:strCache>
                    <c:ptCount val="1"/>
                    <c:pt idx="0">
                      <c:v>周三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{DD99B1C2-4353-42BC-813D-79943F0A1239}</c15:txfldGUID>
                      <c15:f>计算!$O$70</c15:f>
                      <c15:dlblFieldTableCache>
                        <c:ptCount val="1"/>
                        <c:pt idx="0">
                          <c:v>周三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layout/>
              <c:tx>
                <c:strRef>
                  <c:f>计算!$P$70</c:f>
                  <c:strCache>
                    <c:ptCount val="1"/>
                    <c:pt idx="0">
                      <c:v>周四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{758EB6F6-4C8C-47FD-8788-787064478F87}</c15:txfldGUID>
                      <c15:f>计算!$P$70</c15:f>
                      <c15:dlblFieldTableCache>
                        <c:ptCount val="1"/>
                        <c:pt idx="0">
                          <c:v>周四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layout/>
              <c:tx>
                <c:strRef>
                  <c:f>计算!$Q$70</c:f>
                  <c:strCache>
                    <c:ptCount val="1"/>
                    <c:pt idx="0">
                      <c:v>周五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{367F46AB-133B-4741-AA65-2C20C1EC4233}</c15:txfldGUID>
                      <c15:f>计算!$Q$70</c15:f>
                      <c15:dlblFieldTableCache>
                        <c:ptCount val="1"/>
                        <c:pt idx="0">
                          <c:v>周五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layout/>
              <c:tx>
                <c:strRef>
                  <c:f>计算!$R$70</c:f>
                  <c:strCache>
                    <c:ptCount val="1"/>
                    <c:pt idx="0">
                      <c:v>周六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{7ED90F7D-3497-450D-8D7D-70B72932545E}</c15:txfldGUID>
                      <c15:f>计算!$R$70</c15:f>
                      <c15:dlblFieldTableCache>
                        <c:ptCount val="1"/>
                        <c:pt idx="0">
                          <c:v>周六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layout/>
              <c:tx>
                <c:strRef>
                  <c:f>计算!$S$70</c:f>
                  <c:strCache>
                    <c:ptCount val="1"/>
                    <c:pt idx="0">
                      <c:v>周日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{CFDACF64-8400-4154-8365-43594ABF81BA}</c15:txfldGUID>
                      <c15:f>计算!$S$70</c15:f>
                      <c15:dlblFieldTableCache>
                        <c:ptCount val="1"/>
                        <c:pt idx="0">
                          <c:v>周日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layout/>
              <c:tx>
                <c:strRef>
                  <c:f>计算!$T$70</c:f>
                  <c:strCache>
                    <c:ptCount val="1"/>
                    <c:pt idx="0">
                      <c:v>周一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{A7A56F5D-F704-4CDA-9F8F-552B7FCA8A08}</c15:txfldGUID>
                      <c15:f>计算!$T$70</c15:f>
                      <c15:dlblFieldTableCache>
                        <c:ptCount val="1"/>
                        <c:pt idx="0">
                          <c:v>周一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layout/>
              <c:tx>
                <c:strRef>
                  <c:f>计算!$U$70</c:f>
                  <c:strCache>
                    <c:ptCount val="1"/>
                    <c:pt idx="0">
                      <c:v>周二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{92E04B6F-5287-42FD-A60F-A6812FC42F54}</c15:txfldGUID>
                      <c15:f>计算!$U$70</c15:f>
                      <c15:dlblFieldTableCache>
                        <c:ptCount val="1"/>
                        <c:pt idx="0">
                          <c:v>周二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layout/>
              <c:tx>
                <c:strRef>
                  <c:f>计算!$V$70</c:f>
                  <c:strCache>
                    <c:ptCount val="1"/>
                    <c:pt idx="0">
                      <c:v>周三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{4147A92F-53CA-4057-AC37-89581A8A48DB}</c15:txfldGUID>
                      <c15:f>计算!$V$70</c15:f>
                      <c15:dlblFieldTableCache>
                        <c:ptCount val="1"/>
                        <c:pt idx="0">
                          <c:v>周三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layout/>
              <c:tx>
                <c:strRef>
                  <c:f>计算!$W$70</c:f>
                  <c:strCache>
                    <c:ptCount val="1"/>
                    <c:pt idx="0">
                      <c:v>周四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{D9AA885C-EC16-4809-AEC6-83DA702DA47E}</c15:txfldGUID>
                      <c15:f>计算!$W$70</c15:f>
                      <c15:dlblFieldTableCache>
                        <c:ptCount val="1"/>
                        <c:pt idx="0">
                          <c:v>周四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layout/>
              <c:tx>
                <c:strRef>
                  <c:f>计算!$X$70</c:f>
                  <c:strCache>
                    <c:ptCount val="1"/>
                    <c:pt idx="0">
                      <c:v>周五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{9BA005F3-C536-4390-B3D7-13C30483CE05}</c15:txfldGUID>
                      <c15:f>计算!$X$70</c15:f>
                      <c15:dlblFieldTableCache>
                        <c:ptCount val="1"/>
                        <c:pt idx="0">
                          <c:v>周五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layout/>
              <c:tx>
                <c:strRef>
                  <c:f>计算!$Y$70</c:f>
                  <c:strCache>
                    <c:ptCount val="1"/>
                    <c:pt idx="0">
                      <c:v>周六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{6DDC7F02-2E31-4397-B823-611529EFAE9F}</c15:txfldGUID>
                      <c15:f>计算!$Y$70</c15:f>
                      <c15:dlblFieldTableCache>
                        <c:ptCount val="1"/>
                        <c:pt idx="0">
                          <c:v>周六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1"/>
              <c:layout/>
              <c:tx>
                <c:strRef>
                  <c:f>计算!$Z$70</c:f>
                  <c:strCache>
                    <c:ptCount val="1"/>
                    <c:pt idx="0">
                      <c:v>周日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{FBB9AFB3-E462-4726-A75D-421BD333C4DC}</c15:txfldGUID>
                      <c15:f>计算!$Z$70</c15:f>
                      <c15:dlblFieldTableCache>
                        <c:ptCount val="1"/>
                        <c:pt idx="0">
                          <c:v>周日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2"/>
              <c:layout/>
              <c:tx>
                <c:strRef>
                  <c:f>计算!$AA$70</c:f>
                  <c:strCache>
                    <c:ptCount val="1"/>
                    <c:pt idx="0">
                      <c:v>周一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{73C97A38-FEEF-4E04-878C-F2AB6325C4E0}</c15:txfldGUID>
                      <c15:f>计算!$AA$70</c15:f>
                      <c15:dlblFieldTableCache>
                        <c:ptCount val="1"/>
                        <c:pt idx="0">
                          <c:v>周一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3"/>
              <c:layout/>
              <c:tx>
                <c:strRef>
                  <c:f>计算!$AB$70</c:f>
                  <c:strCache>
                    <c:ptCount val="1"/>
                    <c:pt idx="0">
                      <c:v>周二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{14D1B085-9252-414A-9FB1-ACC20390A317}</c15:txfldGUID>
                      <c15:f>计算!$AB$70</c15:f>
                      <c15:dlblFieldTableCache>
                        <c:ptCount val="1"/>
                        <c:pt idx="0">
                          <c:v>周二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4"/>
              <c:layout/>
              <c:tx>
                <c:strRef>
                  <c:f>计算!$AC$70</c:f>
                  <c:strCache>
                    <c:ptCount val="1"/>
                    <c:pt idx="0">
                      <c:v>周三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{C4F08004-BFB4-496C-8395-F663A14B5A7B}</c15:txfldGUID>
                      <c15:f>计算!$AC$70</c15:f>
                      <c15:dlblFieldTableCache>
                        <c:ptCount val="1"/>
                        <c:pt idx="0">
                          <c:v>周三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5"/>
              <c:layout/>
              <c:tx>
                <c:strRef>
                  <c:f>计算!$AD$70</c:f>
                  <c:strCache>
                    <c:ptCount val="1"/>
                    <c:pt idx="0">
                      <c:v>周四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{DE8A636E-23B6-479C-A9E8-CC08F077E524}</c15:txfldGUID>
                      <c15:f>计算!$AD$70</c15:f>
                      <c15:dlblFieldTableCache>
                        <c:ptCount val="1"/>
                        <c:pt idx="0">
                          <c:v>周四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6"/>
              <c:layout/>
              <c:tx>
                <c:strRef>
                  <c:f>计算!$AE$70</c:f>
                  <c:strCache>
                    <c:ptCount val="1"/>
                    <c:pt idx="0">
                      <c:v>周五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{EB9FA594-DA34-424D-9EF5-1FF275C04CCA}</c15:txfldGUID>
                      <c15:f>计算!$AE$70</c15:f>
                      <c15:dlblFieldTableCache>
                        <c:ptCount val="1"/>
                        <c:pt idx="0">
                          <c:v>周五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7"/>
              <c:layout/>
              <c:tx>
                <c:strRef>
                  <c:f>计算!$AF$70</c:f>
                  <c:strCache>
                    <c:ptCount val="1"/>
                    <c:pt idx="0">
                      <c:v>周六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{39E634CA-B173-4128-8B99-640303F0C6BA}</c15:txfldGUID>
                      <c15:f>计算!$AF$70</c15:f>
                      <c15:dlblFieldTableCache>
                        <c:ptCount val="1"/>
                        <c:pt idx="0">
                          <c:v>周六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8"/>
              <c:layout/>
              <c:tx>
                <c:strRef>
                  <c:f>计算!$AG$70</c:f>
                  <c:strCache>
                    <c:ptCount val="1"/>
                    <c:pt idx="0">
                      <c:v>周日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{38F4A104-B09C-4EC9-9C9E-D5CF87382942}</c15:txfldGUID>
                      <c15:f>计算!$AG$70</c15:f>
                      <c15:dlblFieldTableCache>
                        <c:ptCount val="1"/>
                        <c:pt idx="0">
                          <c:v>周日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9"/>
              <c:layout/>
              <c:tx>
                <c:strRef>
                  <c:f>计算!$AH$70</c:f>
                  <c:strCache>
                    <c:ptCount val="1"/>
                    <c:pt idx="0">
                      <c:v>周一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{52E03738-6B88-4714-A3A6-00782BF9B303}</c15:txfldGUID>
                      <c15:f>计算!$AH$70</c15:f>
                      <c15:dlblFieldTableCache>
                        <c:ptCount val="1"/>
                        <c:pt idx="0">
                          <c:v>周一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计算!$E$69:$AH$69</c:f>
              <c:numCache>
                <c:formatCode>General</c:formatCode>
                <c:ptCount val="30"/>
                <c:pt idx="0">
                  <c:v>2.5</c:v>
                </c:pt>
                <c:pt idx="1">
                  <c:v>2.5</c:v>
                </c:pt>
                <c:pt idx="2">
                  <c:v>2.5</c:v>
                </c:pt>
                <c:pt idx="3">
                  <c:v>2.5</c:v>
                </c:pt>
                <c:pt idx="4">
                  <c:v>2.5</c:v>
                </c:pt>
                <c:pt idx="5">
                  <c:v>2.5</c:v>
                </c:pt>
                <c:pt idx="6">
                  <c:v>2.5</c:v>
                </c:pt>
                <c:pt idx="7">
                  <c:v>2.5</c:v>
                </c:pt>
                <c:pt idx="8">
                  <c:v>2.5</c:v>
                </c:pt>
                <c:pt idx="9">
                  <c:v>2.5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2.5</c:v>
                </c:pt>
                <c:pt idx="21">
                  <c:v>2.5</c:v>
                </c:pt>
                <c:pt idx="22">
                  <c:v>2.5</c:v>
                </c:pt>
                <c:pt idx="23">
                  <c:v>2.5</c:v>
                </c:pt>
                <c:pt idx="24">
                  <c:v>2.5</c:v>
                </c:pt>
                <c:pt idx="25">
                  <c:v>2.5</c:v>
                </c:pt>
                <c:pt idx="26">
                  <c:v>2.5</c:v>
                </c:pt>
                <c:pt idx="27">
                  <c:v>2.5</c:v>
                </c:pt>
                <c:pt idx="28">
                  <c:v>2.5</c:v>
                </c:pt>
                <c:pt idx="29">
                  <c:v>2.5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计算!$D$59</c:f>
              <c:strCache>
                <c:ptCount val="1"/>
                <c:pt idx="0">
                  <c:v>2012年9月 - Top Band</c:v>
                </c:pt>
              </c:strCache>
            </c:strRef>
          </c:tx>
          <c:spPr>
            <a:ln w="228600" cap="sq">
              <a:solidFill>
                <a:schemeClr val="accent3"/>
              </a:solidFill>
            </a:ln>
          </c:spPr>
          <c:marker>
            <c:symbol val="none"/>
          </c:marker>
          <c:val>
            <c:numRef>
              <c:f>计算!$E$59:$AH$59</c:f>
              <c:numCache>
                <c:formatCode>General</c:formatCode>
                <c:ptCount val="30"/>
                <c:pt idx="0">
                  <c:v>13</c:v>
                </c:pt>
                <c:pt idx="1">
                  <c:v>13</c:v>
                </c:pt>
                <c:pt idx="2">
                  <c:v>13</c:v>
                </c:pt>
                <c:pt idx="3">
                  <c:v>13</c:v>
                </c:pt>
                <c:pt idx="4">
                  <c:v>13</c:v>
                </c:pt>
                <c:pt idx="5">
                  <c:v>13</c:v>
                </c:pt>
                <c:pt idx="6">
                  <c:v>13</c:v>
                </c:pt>
                <c:pt idx="7">
                  <c:v>13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计算!$D$62</c:f>
              <c:strCache>
                <c:ptCount val="1"/>
                <c:pt idx="0">
                  <c:v>2012年10月 - Top Band</c:v>
                </c:pt>
              </c:strCache>
            </c:strRef>
          </c:tx>
          <c:spPr>
            <a:ln w="228600" cap="sq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计算!$E$62:$AH$62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13</c:v>
                </c:pt>
                <c:pt idx="9">
                  <c:v>13</c:v>
                </c:pt>
                <c:pt idx="10">
                  <c:v>13</c:v>
                </c:pt>
                <c:pt idx="11">
                  <c:v>13</c:v>
                </c:pt>
                <c:pt idx="12">
                  <c:v>13</c:v>
                </c:pt>
                <c:pt idx="13">
                  <c:v>13</c:v>
                </c:pt>
                <c:pt idx="14">
                  <c:v>13</c:v>
                </c:pt>
                <c:pt idx="15">
                  <c:v>13</c:v>
                </c:pt>
                <c:pt idx="16">
                  <c:v>13</c:v>
                </c:pt>
                <c:pt idx="17">
                  <c:v>13</c:v>
                </c:pt>
                <c:pt idx="18">
                  <c:v>13</c:v>
                </c:pt>
                <c:pt idx="19">
                  <c:v>13</c:v>
                </c:pt>
                <c:pt idx="20">
                  <c:v>13</c:v>
                </c:pt>
                <c:pt idx="21">
                  <c:v>13</c:v>
                </c:pt>
                <c:pt idx="22">
                  <c:v>13</c:v>
                </c:pt>
                <c:pt idx="23">
                  <c:v>13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13</c:v>
                </c:pt>
                <c:pt idx="28">
                  <c:v>13</c:v>
                </c:pt>
                <c:pt idx="29">
                  <c:v>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558416"/>
        <c:axId val="204558976"/>
      </c:lineChart>
      <c:dateAx>
        <c:axId val="204558416"/>
        <c:scaling>
          <c:orientation val="minMax"/>
        </c:scaling>
        <c:delete val="1"/>
        <c:axPos val="b"/>
        <c:majorGridlines>
          <c:spPr>
            <a:ln w="3175">
              <a:solidFill>
                <a:schemeClr val="tx2">
                  <a:lumMod val="20000"/>
                  <a:lumOff val="80000"/>
                  <a:alpha val="85000"/>
                </a:schemeClr>
              </a:solidFill>
            </a:ln>
          </c:spPr>
        </c:majorGridlines>
        <c:numFmt formatCode="d" sourceLinked="0"/>
        <c:majorTickMark val="out"/>
        <c:minorTickMark val="none"/>
        <c:tickLblPos val="nextTo"/>
        <c:crossAx val="204558976"/>
        <c:crosses val="autoZero"/>
        <c:auto val="1"/>
        <c:lblOffset val="100"/>
        <c:baseTimeUnit val="days"/>
      </c:dateAx>
      <c:valAx>
        <c:axId val="204558976"/>
        <c:scaling>
          <c:orientation val="minMax"/>
          <c:max val="13.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204558416"/>
        <c:crosses val="autoZero"/>
        <c:crossBetween val="between"/>
        <c:majorUnit val="1"/>
      </c:valAx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000">
          <a:latin typeface="Microsoft YaHei UI" panose="020B0503020204020204" pitchFamily="34" charset="-122"/>
          <a:ea typeface="Microsoft YaHei UI" panose="020B0503020204020204" pitchFamily="34" charset="-122"/>
        </a:defRPr>
      </a:pPr>
      <a:endParaRPr lang="zh-CN"/>
    </a:p>
  </c:txPr>
  <c:printSettings>
    <c:headerFooter/>
    <c:pageMargins b="0.75" l="0.7" r="0.7" t="1" header="0.3" footer="0.3"/>
    <c:pageSetup orientation="landscape"/>
  </c:printSettings>
</c:chartSpace>
</file>

<file path=xl/ctrlProps/ctrlProp1.xml><?xml version="1.0" encoding="utf-8"?>
<formControlPr xmlns="http://schemas.microsoft.com/office/spreadsheetml/2009/9/main" objectType="Scroll" dx="16" fmlaLink="WindowOffset" horiz="1" max="100" noThreeD="1" page="7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323850</xdr:colOff>
      <xdr:row>1</xdr:row>
      <xdr:rowOff>190500</xdr:rowOff>
    </xdr:from>
    <xdr:to>
      <xdr:col>6</xdr:col>
      <xdr:colOff>12954</xdr:colOff>
      <xdr:row>16</xdr:row>
      <xdr:rowOff>161925</xdr:rowOff>
    </xdr:to>
    <xdr:graphicFrame macro="">
      <xdr:nvGraphicFramePr>
        <xdr:cNvPr id="7" name="日程表图表" descr="项目活动的可滚动日程表。" title="日程表图表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18</xdr:row>
          <xdr:rowOff>209550</xdr:rowOff>
        </xdr:from>
        <xdr:to>
          <xdr:col>6</xdr:col>
          <xdr:colOff>0</xdr:colOff>
          <xdr:row>20</xdr:row>
          <xdr:rowOff>0</xdr:rowOff>
        </xdr:to>
        <xdr:sp macro="" textlink="">
          <xdr:nvSpPr>
            <xdr:cNvPr id="1025" name="滚动条" descr="单击滚动条可修改日程表图表上显示的项目时间范围，或者在单元格 D20 中输入项目活动显示的开始日期。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Activities" displayName="Activities" ref="B22:F34" totalsRowShown="0" headerRowDxfId="6" dataDxfId="5">
  <autoFilter ref="B22:F34"/>
  <sortState ref="C20:F25">
    <sortCondition ref="D19:D25"/>
  </sortState>
  <tableColumns count="5">
    <tableColumn id="5" name="Id" dataDxfId="4">
      <calculatedColumnFormula>N(B22)+1</calculatedColumnFormula>
    </tableColumn>
    <tableColumn id="1" name="活动" dataDxfId="3"/>
    <tableColumn id="2" name="开始" dataDxfId="2">
      <calculatedColumnFormula>D22+10</calculatedColumnFormula>
    </tableColumn>
    <tableColumn id="3" name="结束" dataDxfId="1">
      <calculatedColumnFormula>Activities[[#This Row],[开始]]+2</calculatedColumnFormula>
    </tableColumn>
    <tableColumn id="4" name="备注" dataDxfId="0"/>
  </tableColumns>
  <tableStyleInfo name="Project Timeline" showFirstColumn="0" showLastColumn="0" showRowStripes="1" showColumnStripes="0"/>
  <extLst>
    <ext xmlns:x14="http://schemas.microsoft.com/office/spreadsheetml/2009/9/main" uri="{504A1905-F514-4f6f-8877-14C23A59335A}">
      <x14:table altText="活动表格" altTextSummary="此表便于用户输入和管理学校活动。列包括“活动”、“开始”、“结束”和“备注”。在表中输入的所有活动都将呈现在日程表图表中。"/>
    </ext>
  </extLst>
</table>
</file>

<file path=xl/theme/theme1.xml><?xml version="1.0" encoding="utf-8"?>
<a:theme xmlns:a="http://schemas.openxmlformats.org/drawingml/2006/main" name="Office Theme">
  <a:themeElements>
    <a:clrScheme name="Project Timeline">
      <a:dk1>
        <a:sysClr val="windowText" lastClr="000000"/>
      </a:dk1>
      <a:lt1>
        <a:sysClr val="window" lastClr="FFFFFF"/>
      </a:lt1>
      <a:dk2>
        <a:srgbClr val="37464D"/>
      </a:dk2>
      <a:lt2>
        <a:srgbClr val="F0ECEB"/>
      </a:lt2>
      <a:accent1>
        <a:srgbClr val="FE713B"/>
      </a:accent1>
      <a:accent2>
        <a:srgbClr val="0CA8C7"/>
      </a:accent2>
      <a:accent3>
        <a:srgbClr val="9BD174"/>
      </a:accent3>
      <a:accent4>
        <a:srgbClr val="8F6BA2"/>
      </a:accent4>
      <a:accent5>
        <a:srgbClr val="FFED56"/>
      </a:accent5>
      <a:accent6>
        <a:srgbClr val="E95877"/>
      </a:accent6>
      <a:hlink>
        <a:srgbClr val="47C2D9"/>
      </a:hlink>
      <a:folHlink>
        <a:srgbClr val="8F6BA2"/>
      </a:folHlink>
    </a:clrScheme>
    <a:fontScheme name="Project Timeline">
      <a:majorFont>
        <a:latin typeface="Calibri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5"/>
    <pageSetUpPr autoPageBreaks="0"/>
  </sheetPr>
  <dimension ref="A1:G34"/>
  <sheetViews>
    <sheetView showGridLines="0" tabSelected="1" zoomScaleNormal="100" workbookViewId="0"/>
  </sheetViews>
  <sheetFormatPr defaultRowHeight="17.25" customHeight="1" x14ac:dyDescent="0.2"/>
  <cols>
    <col min="1" max="1" width="5.5703125" style="6" customWidth="1"/>
    <col min="2" max="2" width="0" style="6" hidden="1" customWidth="1"/>
    <col min="3" max="3" width="31" style="6" customWidth="1"/>
    <col min="4" max="5" width="18.42578125" style="6" customWidth="1"/>
    <col min="6" max="6" width="56.85546875" style="6" customWidth="1"/>
    <col min="7" max="7" width="5.5703125" style="6" customWidth="1"/>
    <col min="8" max="16384" width="9.140625" style="6"/>
  </cols>
  <sheetData>
    <row r="1" spans="1:7" s="5" customFormat="1" ht="47.25" customHeight="1" thickBot="1" x14ac:dyDescent="0.25">
      <c r="A1" s="1"/>
      <c r="B1" s="2"/>
      <c r="C1" s="3" t="s">
        <v>1</v>
      </c>
      <c r="D1" s="1"/>
      <c r="E1" s="1"/>
      <c r="F1" s="1"/>
      <c r="G1" s="4"/>
    </row>
    <row r="2" spans="1:7" ht="17.25" customHeight="1" thickTop="1" x14ac:dyDescent="0.2">
      <c r="C2" s="7"/>
    </row>
    <row r="18" spans="2:6" ht="17.25" customHeight="1" thickBot="1" x14ac:dyDescent="0.25">
      <c r="C18" s="8"/>
      <c r="D18" s="8"/>
      <c r="E18" s="8"/>
      <c r="F18" s="8"/>
    </row>
    <row r="19" spans="2:6" ht="17.25" customHeight="1" thickTop="1" x14ac:dyDescent="0.2">
      <c r="C19" s="9"/>
      <c r="D19" s="9"/>
      <c r="E19" s="9"/>
      <c r="F19" s="9"/>
    </row>
    <row r="20" spans="2:6" ht="17.25" customHeight="1" x14ac:dyDescent="0.3">
      <c r="C20" s="10" t="s">
        <v>14</v>
      </c>
      <c r="D20" s="11">
        <f ca="1">TODAY()-3</f>
        <v>41175</v>
      </c>
      <c r="E20" s="9"/>
      <c r="F20" s="9"/>
    </row>
    <row r="21" spans="2:6" ht="17.25" customHeight="1" x14ac:dyDescent="0.2">
      <c r="C21" s="9"/>
      <c r="D21" s="9"/>
      <c r="E21" s="9"/>
      <c r="F21" s="9"/>
    </row>
    <row r="22" spans="2:6" ht="17.25" customHeight="1" x14ac:dyDescent="0.2">
      <c r="B22" s="12" t="s">
        <v>0</v>
      </c>
      <c r="C22" s="13" t="s">
        <v>12</v>
      </c>
      <c r="D22" s="13" t="s">
        <v>7</v>
      </c>
      <c r="E22" s="13" t="s">
        <v>15</v>
      </c>
      <c r="F22" s="13" t="s">
        <v>16</v>
      </c>
    </row>
    <row r="23" spans="2:6" ht="17.25" customHeight="1" x14ac:dyDescent="0.2">
      <c r="B23" s="12">
        <f t="shared" ref="B23:B28" si="0">N(B22)+1</f>
        <v>1</v>
      </c>
      <c r="C23" s="14" t="s">
        <v>17</v>
      </c>
      <c r="D23" s="15">
        <f ca="1">D20+3</f>
        <v>41178</v>
      </c>
      <c r="E23" s="15"/>
      <c r="F23" s="14"/>
    </row>
    <row r="24" spans="2:6" ht="17.25" customHeight="1" x14ac:dyDescent="0.2">
      <c r="B24" s="12">
        <f t="shared" si="0"/>
        <v>2</v>
      </c>
      <c r="C24" s="14" t="s">
        <v>18</v>
      </c>
      <c r="D24" s="15">
        <f t="shared" ref="D24:D34" ca="1" si="1">D23+10</f>
        <v>41188</v>
      </c>
      <c r="E24" s="15">
        <f ca="1">Activities[[#This Row],[开始]]+3</f>
        <v>41191</v>
      </c>
      <c r="F24" s="14"/>
    </row>
    <row r="25" spans="2:6" ht="17.25" customHeight="1" x14ac:dyDescent="0.2">
      <c r="B25" s="12">
        <f t="shared" si="0"/>
        <v>3</v>
      </c>
      <c r="C25" s="14" t="s">
        <v>19</v>
      </c>
      <c r="D25" s="15">
        <f ca="1">D24+1</f>
        <v>41189</v>
      </c>
      <c r="E25" s="15">
        <f ca="1">Activities[[#This Row],[开始]]+3</f>
        <v>41192</v>
      </c>
      <c r="F25" s="14"/>
    </row>
    <row r="26" spans="2:6" ht="17.25" customHeight="1" x14ac:dyDescent="0.2">
      <c r="B26" s="12">
        <f t="shared" si="0"/>
        <v>4</v>
      </c>
      <c r="C26" s="14" t="s">
        <v>20</v>
      </c>
      <c r="D26" s="15">
        <f ca="1">D25+5</f>
        <v>41194</v>
      </c>
      <c r="E26" s="15"/>
      <c r="F26" s="14"/>
    </row>
    <row r="27" spans="2:6" ht="17.25" customHeight="1" x14ac:dyDescent="0.2">
      <c r="B27" s="12">
        <f t="shared" si="0"/>
        <v>5</v>
      </c>
      <c r="C27" s="14" t="s">
        <v>21</v>
      </c>
      <c r="D27" s="15">
        <f t="shared" ca="1" si="1"/>
        <v>41204</v>
      </c>
      <c r="E27" s="15">
        <f ca="1">Activities[[#This Row],[开始]]+2</f>
        <v>41206</v>
      </c>
      <c r="F27" s="14"/>
    </row>
    <row r="28" spans="2:6" ht="17.25" customHeight="1" x14ac:dyDescent="0.2">
      <c r="B28" s="12">
        <f t="shared" si="0"/>
        <v>6</v>
      </c>
      <c r="C28" s="14" t="s">
        <v>22</v>
      </c>
      <c r="D28" s="15">
        <f t="shared" ca="1" si="1"/>
        <v>41214</v>
      </c>
      <c r="E28" s="15">
        <f ca="1">Activities[[#This Row],[开始]]+2</f>
        <v>41216</v>
      </c>
      <c r="F28" s="14"/>
    </row>
    <row r="29" spans="2:6" ht="17.25" customHeight="1" x14ac:dyDescent="0.2">
      <c r="B29" s="16">
        <f t="shared" ref="B29:B34" si="2">N(B28)+1</f>
        <v>7</v>
      </c>
      <c r="C29" s="14" t="s">
        <v>23</v>
      </c>
      <c r="D29" s="15">
        <f t="shared" ca="1" si="1"/>
        <v>41224</v>
      </c>
      <c r="E29" s="15">
        <f ca="1">Activities[[#This Row],[开始]]+2</f>
        <v>41226</v>
      </c>
      <c r="F29" s="14"/>
    </row>
    <row r="30" spans="2:6" ht="17.25" customHeight="1" x14ac:dyDescent="0.2">
      <c r="B30" s="16">
        <f t="shared" si="2"/>
        <v>8</v>
      </c>
      <c r="C30" s="14" t="s">
        <v>24</v>
      </c>
      <c r="D30" s="15">
        <f t="shared" ca="1" si="1"/>
        <v>41234</v>
      </c>
      <c r="E30" s="15"/>
      <c r="F30" s="14"/>
    </row>
    <row r="31" spans="2:6" ht="17.25" customHeight="1" x14ac:dyDescent="0.2">
      <c r="B31" s="16">
        <f t="shared" si="2"/>
        <v>9</v>
      </c>
      <c r="C31" s="14" t="s">
        <v>25</v>
      </c>
      <c r="D31" s="15">
        <f t="shared" ca="1" si="1"/>
        <v>41244</v>
      </c>
      <c r="E31" s="15">
        <f ca="1">Activities[[#This Row],[开始]]+2</f>
        <v>41246</v>
      </c>
      <c r="F31" s="14"/>
    </row>
    <row r="32" spans="2:6" ht="17.25" customHeight="1" x14ac:dyDescent="0.2">
      <c r="B32" s="16">
        <f t="shared" si="2"/>
        <v>10</v>
      </c>
      <c r="C32" s="14" t="s">
        <v>26</v>
      </c>
      <c r="D32" s="15">
        <f t="shared" ca="1" si="1"/>
        <v>41254</v>
      </c>
      <c r="E32" s="15">
        <f ca="1">Activities[[#This Row],[开始]]+2</f>
        <v>41256</v>
      </c>
      <c r="F32" s="14"/>
    </row>
    <row r="33" spans="2:6" ht="17.25" customHeight="1" x14ac:dyDescent="0.2">
      <c r="B33" s="16">
        <f t="shared" si="2"/>
        <v>11</v>
      </c>
      <c r="C33" s="14" t="s">
        <v>27</v>
      </c>
      <c r="D33" s="15">
        <f t="shared" ca="1" si="1"/>
        <v>41264</v>
      </c>
      <c r="E33" s="15">
        <f ca="1">Activities[[#This Row],[开始]]+2</f>
        <v>41266</v>
      </c>
      <c r="F33" s="14"/>
    </row>
    <row r="34" spans="2:6" ht="17.25" customHeight="1" x14ac:dyDescent="0.2">
      <c r="B34" s="16">
        <f t="shared" si="2"/>
        <v>12</v>
      </c>
      <c r="C34" s="14" t="s">
        <v>28</v>
      </c>
      <c r="D34" s="15">
        <f t="shared" ca="1" si="1"/>
        <v>41274</v>
      </c>
      <c r="E34" s="15"/>
      <c r="F34" s="14"/>
    </row>
  </sheetData>
  <sheetProtection selectLockedCells="1"/>
  <phoneticPr fontId="7" type="noConversion"/>
  <printOptions horizontalCentered="1"/>
  <pageMargins left="0.25" right="0.25" top="0.5" bottom="0.5" header="0.3" footer="0.3"/>
  <pageSetup fitToHeight="0" orientation="landscape" r:id="rId1"/>
  <rowBreaks count="2" manualBreakCount="2">
    <brk id="18" max="16383" man="1"/>
    <brk id="20" max="16383" man="1"/>
  </rowBreaks>
  <ignoredErrors>
    <ignoredError sqref="D24 D27:D34" unlockedFormula="1"/>
    <ignoredError sqref="D25:D26 E24:E25 D23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滚动条">
              <controlPr defaultSize="0" autoPict="0" altText="单击滚动条可修改日程表图表上显示的项目时间范围，或者在单元格 D20 中输入项目活动显示的开始日期。">
                <anchor moveWithCells="1">
                  <from>
                    <xdr:col>4</xdr:col>
                    <xdr:colOff>47625</xdr:colOff>
                    <xdr:row>18</xdr:row>
                    <xdr:rowOff>209550</xdr:rowOff>
                  </from>
                  <to>
                    <xdr:col>6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72"/>
  <sheetViews>
    <sheetView workbookViewId="0"/>
  </sheetViews>
  <sheetFormatPr defaultRowHeight="13.5" x14ac:dyDescent="0.2"/>
  <cols>
    <col min="1" max="2" width="9.140625" style="17"/>
    <col min="3" max="3" width="17.42578125" style="17" customWidth="1"/>
    <col min="4" max="4" width="23.85546875" style="17" customWidth="1"/>
    <col min="5" max="34" width="10.85546875" style="17" customWidth="1"/>
    <col min="35" max="35" width="17.5703125" style="17" customWidth="1"/>
    <col min="36" max="16384" width="9.140625" style="17"/>
  </cols>
  <sheetData>
    <row r="1" spans="1:6" x14ac:dyDescent="0.2">
      <c r="A1" s="17" t="s">
        <v>2</v>
      </c>
    </row>
    <row r="3" spans="1:6" x14ac:dyDescent="0.2">
      <c r="C3" s="17" t="s">
        <v>3</v>
      </c>
      <c r="D3" s="18">
        <f ca="1">TODAY()</f>
        <v>41178</v>
      </c>
      <c r="E3" s="18"/>
    </row>
    <row r="4" spans="1:6" x14ac:dyDescent="0.2">
      <c r="D4" s="17">
        <v>5</v>
      </c>
    </row>
    <row r="6" spans="1:6" x14ac:dyDescent="0.2">
      <c r="E6" s="17" t="e">
        <f>NA()</f>
        <v>#N/A</v>
      </c>
    </row>
    <row r="7" spans="1:6" x14ac:dyDescent="0.2">
      <c r="E7" s="17" t="e">
        <f>NA()</f>
        <v>#N/A</v>
      </c>
    </row>
    <row r="8" spans="1:6" x14ac:dyDescent="0.2">
      <c r="E8" s="17" t="e">
        <f>NA()</f>
        <v>#N/A</v>
      </c>
    </row>
    <row r="9" spans="1:6" x14ac:dyDescent="0.2">
      <c r="C9" s="19" t="s">
        <v>4</v>
      </c>
      <c r="D9" s="17">
        <f ca="1">SUMPRODUCT( ((Activities[开始]&gt;=StartDateWindow)+(Activities[结束]&gt;=StartDateWindow)&gt;0)*(Activities[开始]&lt;=(StartDateWindow+WindowDays-1)) )</f>
        <v>5</v>
      </c>
      <c r="E9" s="17" t="e">
        <f>NA()</f>
        <v>#N/A</v>
      </c>
    </row>
    <row r="10" spans="1:6" x14ac:dyDescent="0.2">
      <c r="D10" s="17">
        <v>9</v>
      </c>
      <c r="E10" s="17" t="e">
        <f>NA()</f>
        <v>#N/A</v>
      </c>
    </row>
    <row r="11" spans="1:6" x14ac:dyDescent="0.2">
      <c r="D11" s="17">
        <f ca="1">D10-MIN(D10,D9)</f>
        <v>4</v>
      </c>
      <c r="E11" s="17" t="e">
        <f>NA()</f>
        <v>#N/A</v>
      </c>
    </row>
    <row r="12" spans="1:6" x14ac:dyDescent="0.2">
      <c r="E12" s="17" t="e">
        <f>NA()</f>
        <v>#N/A</v>
      </c>
    </row>
    <row r="13" spans="1:6" x14ac:dyDescent="0.2">
      <c r="C13" s="19"/>
      <c r="E13" s="17" t="e">
        <f>NA()</f>
        <v>#N/A</v>
      </c>
    </row>
    <row r="14" spans="1:6" x14ac:dyDescent="0.2">
      <c r="C14" s="19"/>
      <c r="E14" s="17" t="e">
        <f>NA()</f>
        <v>#N/A</v>
      </c>
    </row>
    <row r="15" spans="1:6" x14ac:dyDescent="0.2">
      <c r="C15" s="19"/>
      <c r="E15" s="17">
        <f t="array" aca="1" ref="E15" ca="1">INDEX(Activities[Id],MATCH(1, ((Activities[开始]&gt;=StartDateWindow)+(Activities[结束]&gt;=StartDateWindow)&gt;0)*(Activities[开始]&lt;=(StartDateWindow+WindowDays-1)), 0))</f>
        <v>1</v>
      </c>
      <c r="F15" s="17" t="e">
        <f t="shared" ref="F15:F23" ca="1" si="0">OFFSET(E15,-$D$11,)</f>
        <v>#N/A</v>
      </c>
    </row>
    <row r="16" spans="1:6" x14ac:dyDescent="0.2">
      <c r="C16" s="19"/>
      <c r="E16" s="17">
        <f t="array" aca="1" ref="E16" ca="1">INDEX(Activities[Id],MATCH(1, (Activities[Id]&gt;E15)*((Activities[开始]&gt;=StartDateWindow)+(Activities[结束]&gt;=StartDateWindow)&gt;0)*(Activities[开始]&lt;=(StartDateWindow+WindowDays-1)), 0))</f>
        <v>2</v>
      </c>
      <c r="F16" s="17" t="e">
        <f t="shared" ca="1" si="0"/>
        <v>#N/A</v>
      </c>
    </row>
    <row r="17" spans="1:35" x14ac:dyDescent="0.2">
      <c r="C17" s="19"/>
      <c r="E17" s="17">
        <f t="array" aca="1" ref="E17" ca="1">INDEX(Activities[Id],MATCH(1, (Activities[Id]&gt;E16)*((Activities[开始]&gt;=StartDateWindow)+(Activities[结束]&gt;=StartDateWindow)&gt;0)*(Activities[开始]&lt;=(StartDateWindow+WindowDays-1)), 0))</f>
        <v>3</v>
      </c>
      <c r="F17" s="17" t="e">
        <f t="shared" ca="1" si="0"/>
        <v>#N/A</v>
      </c>
    </row>
    <row r="18" spans="1:35" x14ac:dyDescent="0.2">
      <c r="E18" s="17">
        <f t="array" aca="1" ref="E18" ca="1">INDEX(Activities[Id],MATCH(1, (Activities[Id]&gt;E17)*((Activities[开始]&gt;=StartDateWindow)+(Activities[结束]&gt;=StartDateWindow)&gt;0)*(Activities[开始]&lt;=(StartDateWindow+WindowDays-1)), 0))</f>
        <v>4</v>
      </c>
      <c r="F18" s="17" t="e">
        <f t="shared" ca="1" si="0"/>
        <v>#N/A</v>
      </c>
    </row>
    <row r="19" spans="1:35" x14ac:dyDescent="0.2">
      <c r="E19" s="17">
        <f t="array" aca="1" ref="E19" ca="1">INDEX(Activities[Id],MATCH(1, (Activities[Id]&gt;E18)*((Activities[开始]&gt;=StartDateWindow)+(Activities[结束]&gt;=StartDateWindow)&gt;0)*(Activities[开始]&lt;=(StartDateWindow+WindowDays-1)), 0))</f>
        <v>5</v>
      </c>
      <c r="F19" s="17">
        <f t="shared" ca="1" si="0"/>
        <v>1</v>
      </c>
    </row>
    <row r="20" spans="1:35" x14ac:dyDescent="0.2">
      <c r="E20" s="17" t="e">
        <f t="array" aca="1" ref="E20" ca="1">INDEX(Activities[Id],MATCH(1, (Activities[Id]&gt;E19)*((Activities[开始]&gt;=StartDateWindow)+(Activities[结束]&gt;=StartDateWindow)&gt;0)*(Activities[开始]&lt;=(StartDateWindow+WindowDays-1)), 0))</f>
        <v>#N/A</v>
      </c>
      <c r="F20" s="17">
        <f t="shared" ca="1" si="0"/>
        <v>2</v>
      </c>
    </row>
    <row r="21" spans="1:35" x14ac:dyDescent="0.2">
      <c r="E21" s="17" t="e">
        <f t="array" aca="1" ref="E21" ca="1">INDEX(Activities[Id],MATCH(1, (Activities[Id]&gt;E20)*((Activities[开始]&gt;=StartDateWindow)+(Activities[结束]&gt;=StartDateWindow)&gt;0)*(Activities[开始]&lt;=(StartDateWindow+WindowDays-1)), 0))</f>
        <v>#N/A</v>
      </c>
      <c r="F21" s="17">
        <f t="shared" ca="1" si="0"/>
        <v>3</v>
      </c>
    </row>
    <row r="22" spans="1:35" x14ac:dyDescent="0.2">
      <c r="E22" s="17" t="e">
        <f t="array" aca="1" ref="E22" ca="1">INDEX(Activities[Id],MATCH(1, (Activities[Id]&gt;E21)*((Activities[开始]&gt;=StartDateWindow)+(Activities[结束]&gt;=StartDateWindow)&gt;0)*(Activities[开始]&lt;=(StartDateWindow+WindowDays-1)), 0))</f>
        <v>#N/A</v>
      </c>
      <c r="F22" s="17">
        <f t="shared" ca="1" si="0"/>
        <v>4</v>
      </c>
    </row>
    <row r="23" spans="1:35" x14ac:dyDescent="0.2">
      <c r="E23" s="17" t="e">
        <f t="array" aca="1" ref="E23" ca="1">INDEX(Activities[Id],MATCH(1, (Activities[Id]&gt;E22)*((Activities[开始]&gt;=StartDateWindow)+(Activities[结束]&gt;=StartDateWindow)&gt;0)*(Activities[开始]&lt;=(StartDateWindow+WindowDays-1)), 0))</f>
        <v>#N/A</v>
      </c>
      <c r="F23" s="17">
        <f t="shared" ca="1" si="0"/>
        <v>5</v>
      </c>
    </row>
    <row r="25" spans="1:35" x14ac:dyDescent="0.2">
      <c r="C25" s="17" t="s">
        <v>5</v>
      </c>
      <c r="D25" s="18">
        <f ca="1">StartDate+WindowOffset</f>
        <v>41175</v>
      </c>
    </row>
    <row r="26" spans="1:35" x14ac:dyDescent="0.2">
      <c r="C26" s="17" t="s">
        <v>6</v>
      </c>
      <c r="D26" s="17">
        <v>0</v>
      </c>
    </row>
    <row r="28" spans="1:35" x14ac:dyDescent="0.2">
      <c r="C28" s="17" t="s">
        <v>7</v>
      </c>
      <c r="D28" s="19">
        <f ca="1">项目日程表!D20</f>
        <v>41175</v>
      </c>
    </row>
    <row r="29" spans="1:35" x14ac:dyDescent="0.2">
      <c r="C29" s="17" t="s">
        <v>8</v>
      </c>
      <c r="D29" s="17">
        <v>30</v>
      </c>
    </row>
    <row r="31" spans="1:35" x14ac:dyDescent="0.2">
      <c r="A31" s="17" t="s">
        <v>9</v>
      </c>
      <c r="B31" s="17" t="s">
        <v>10</v>
      </c>
      <c r="C31" s="17" t="s">
        <v>11</v>
      </c>
      <c r="D31" s="17" t="s">
        <v>12</v>
      </c>
      <c r="E31" s="18">
        <f ca="1">StartDateWindow</f>
        <v>41175</v>
      </c>
      <c r="F31" s="18">
        <f t="shared" ref="F31:AI31" ca="1" si="1">E31+1</f>
        <v>41176</v>
      </c>
      <c r="G31" s="18">
        <f t="shared" ca="1" si="1"/>
        <v>41177</v>
      </c>
      <c r="H31" s="18">
        <f t="shared" ca="1" si="1"/>
        <v>41178</v>
      </c>
      <c r="I31" s="18">
        <f t="shared" ca="1" si="1"/>
        <v>41179</v>
      </c>
      <c r="J31" s="18">
        <f t="shared" ca="1" si="1"/>
        <v>41180</v>
      </c>
      <c r="K31" s="18">
        <f t="shared" ca="1" si="1"/>
        <v>41181</v>
      </c>
      <c r="L31" s="18">
        <f t="shared" ca="1" si="1"/>
        <v>41182</v>
      </c>
      <c r="M31" s="18">
        <f t="shared" ca="1" si="1"/>
        <v>41183</v>
      </c>
      <c r="N31" s="18">
        <f t="shared" ca="1" si="1"/>
        <v>41184</v>
      </c>
      <c r="O31" s="18">
        <f t="shared" ca="1" si="1"/>
        <v>41185</v>
      </c>
      <c r="P31" s="18">
        <f t="shared" ca="1" si="1"/>
        <v>41186</v>
      </c>
      <c r="Q31" s="18">
        <f t="shared" ca="1" si="1"/>
        <v>41187</v>
      </c>
      <c r="R31" s="18">
        <f t="shared" ca="1" si="1"/>
        <v>41188</v>
      </c>
      <c r="S31" s="18">
        <f t="shared" ca="1" si="1"/>
        <v>41189</v>
      </c>
      <c r="T31" s="18">
        <f t="shared" ca="1" si="1"/>
        <v>41190</v>
      </c>
      <c r="U31" s="18">
        <f t="shared" ca="1" si="1"/>
        <v>41191</v>
      </c>
      <c r="V31" s="18">
        <f t="shared" ca="1" si="1"/>
        <v>41192</v>
      </c>
      <c r="W31" s="18">
        <f t="shared" ca="1" si="1"/>
        <v>41193</v>
      </c>
      <c r="X31" s="18">
        <f t="shared" ca="1" si="1"/>
        <v>41194</v>
      </c>
      <c r="Y31" s="18">
        <f t="shared" ca="1" si="1"/>
        <v>41195</v>
      </c>
      <c r="Z31" s="18">
        <f t="shared" ca="1" si="1"/>
        <v>41196</v>
      </c>
      <c r="AA31" s="18">
        <f t="shared" ca="1" si="1"/>
        <v>41197</v>
      </c>
      <c r="AB31" s="18">
        <f t="shared" ca="1" si="1"/>
        <v>41198</v>
      </c>
      <c r="AC31" s="18">
        <f t="shared" ca="1" si="1"/>
        <v>41199</v>
      </c>
      <c r="AD31" s="18">
        <f t="shared" ca="1" si="1"/>
        <v>41200</v>
      </c>
      <c r="AE31" s="18">
        <f t="shared" ca="1" si="1"/>
        <v>41201</v>
      </c>
      <c r="AF31" s="18">
        <f t="shared" ca="1" si="1"/>
        <v>41202</v>
      </c>
      <c r="AG31" s="18">
        <f t="shared" ca="1" si="1"/>
        <v>41203</v>
      </c>
      <c r="AH31" s="18">
        <f t="shared" ca="1" si="1"/>
        <v>41204</v>
      </c>
      <c r="AI31" s="18">
        <f t="shared" ca="1" si="1"/>
        <v>41205</v>
      </c>
    </row>
    <row r="32" spans="1:35" x14ac:dyDescent="0.2">
      <c r="A32" s="17">
        <v>11.3</v>
      </c>
      <c r="B32" s="17">
        <v>1</v>
      </c>
      <c r="C32" s="17" t="e">
        <f t="shared" ref="C32:C40" ca="1" si="2">F15</f>
        <v>#N/A</v>
      </c>
      <c r="D32" s="17" t="e">
        <f ca="1">INDEX(Activities[活动],MATCH($C32,Activities[Id],0))</f>
        <v>#N/A</v>
      </c>
      <c r="E32" s="17" t="e">
        <f ca="1">GridCalc</f>
        <v>#N/A</v>
      </c>
      <c r="F32" s="17" t="e">
        <f ca="1">GridCalc</f>
        <v>#N/A</v>
      </c>
      <c r="G32" s="17" t="e">
        <f ca="1">GridCalc</f>
        <v>#N/A</v>
      </c>
      <c r="H32" s="17" t="e">
        <f ca="1">GridCalc</f>
        <v>#N/A</v>
      </c>
      <c r="I32" s="17" t="e">
        <f ca="1">GridCalc</f>
        <v>#N/A</v>
      </c>
      <c r="J32" s="17" t="e">
        <f ca="1">GridCalc</f>
        <v>#N/A</v>
      </c>
      <c r="K32" s="17" t="e">
        <f ca="1">GridCalc</f>
        <v>#N/A</v>
      </c>
      <c r="L32" s="17" t="e">
        <f ca="1">GridCalc</f>
        <v>#N/A</v>
      </c>
      <c r="M32" s="17" t="e">
        <f ca="1">GridCalc</f>
        <v>#N/A</v>
      </c>
      <c r="N32" s="17" t="e">
        <f ca="1">GridCalc</f>
        <v>#N/A</v>
      </c>
      <c r="O32" s="17" t="e">
        <f ca="1">GridCalc</f>
        <v>#N/A</v>
      </c>
      <c r="P32" s="17" t="e">
        <f ca="1">GridCalc</f>
        <v>#N/A</v>
      </c>
      <c r="Q32" s="17" t="e">
        <f ca="1">GridCalc</f>
        <v>#N/A</v>
      </c>
      <c r="R32" s="17" t="e">
        <f ca="1">GridCalc</f>
        <v>#N/A</v>
      </c>
      <c r="S32" s="17" t="e">
        <f ca="1">GridCalc</f>
        <v>#N/A</v>
      </c>
      <c r="T32" s="17" t="e">
        <f ca="1">GridCalc</f>
        <v>#N/A</v>
      </c>
      <c r="U32" s="17" t="e">
        <f ca="1">GridCalc</f>
        <v>#N/A</v>
      </c>
      <c r="V32" s="17" t="e">
        <f ca="1">GridCalc</f>
        <v>#N/A</v>
      </c>
      <c r="W32" s="17" t="e">
        <f ca="1">GridCalc</f>
        <v>#N/A</v>
      </c>
      <c r="X32" s="17" t="e">
        <f ca="1">GridCalc</f>
        <v>#N/A</v>
      </c>
      <c r="Y32" s="17" t="e">
        <f ca="1">GridCalc</f>
        <v>#N/A</v>
      </c>
      <c r="Z32" s="17" t="e">
        <f ca="1">GridCalc</f>
        <v>#N/A</v>
      </c>
      <c r="AA32" s="17" t="e">
        <f ca="1">GridCalc</f>
        <v>#N/A</v>
      </c>
      <c r="AB32" s="17" t="e">
        <f ca="1">GridCalc</f>
        <v>#N/A</v>
      </c>
      <c r="AC32" s="17" t="e">
        <f ca="1">GridCalc</f>
        <v>#N/A</v>
      </c>
      <c r="AD32" s="17" t="e">
        <f ca="1">GridCalc</f>
        <v>#N/A</v>
      </c>
      <c r="AE32" s="17" t="e">
        <f ca="1">GridCalc</f>
        <v>#N/A</v>
      </c>
      <c r="AF32" s="17" t="e">
        <f ca="1">GridCalc</f>
        <v>#N/A</v>
      </c>
      <c r="AG32" s="17" t="e">
        <f ca="1">GridCalc</f>
        <v>#N/A</v>
      </c>
      <c r="AH32" s="17" t="e">
        <f ca="1">GridCalc</f>
        <v>#N/A</v>
      </c>
      <c r="AI32" s="17" t="e">
        <f ca="1">GridCalc</f>
        <v>#N/A</v>
      </c>
    </row>
    <row r="33" spans="1:35" x14ac:dyDescent="0.2">
      <c r="A33" s="17">
        <f>A32-1</f>
        <v>10.3</v>
      </c>
      <c r="B33" s="17">
        <v>2</v>
      </c>
      <c r="C33" s="17" t="e">
        <f t="shared" ca="1" si="2"/>
        <v>#N/A</v>
      </c>
      <c r="D33" s="17" t="e">
        <f ca="1">INDEX(Activities[活动],MATCH($C33,Activities[Id],0))</f>
        <v>#N/A</v>
      </c>
      <c r="E33" s="17" t="e">
        <f ca="1">GridCalc</f>
        <v>#N/A</v>
      </c>
      <c r="F33" s="17" t="e">
        <f ca="1">GridCalc</f>
        <v>#N/A</v>
      </c>
      <c r="G33" s="17" t="e">
        <f ca="1">GridCalc</f>
        <v>#N/A</v>
      </c>
      <c r="H33" s="17" t="e">
        <f ca="1">GridCalc</f>
        <v>#N/A</v>
      </c>
      <c r="I33" s="17" t="e">
        <f ca="1">GridCalc</f>
        <v>#N/A</v>
      </c>
      <c r="J33" s="17" t="e">
        <f ca="1">GridCalc</f>
        <v>#N/A</v>
      </c>
      <c r="K33" s="17" t="e">
        <f ca="1">GridCalc</f>
        <v>#N/A</v>
      </c>
      <c r="L33" s="17" t="e">
        <f ca="1">GridCalc</f>
        <v>#N/A</v>
      </c>
      <c r="M33" s="17" t="e">
        <f ca="1">GridCalc</f>
        <v>#N/A</v>
      </c>
      <c r="N33" s="17" t="e">
        <f ca="1">GridCalc</f>
        <v>#N/A</v>
      </c>
      <c r="O33" s="17" t="e">
        <f ca="1">GridCalc</f>
        <v>#N/A</v>
      </c>
      <c r="P33" s="17" t="e">
        <f ca="1">GridCalc</f>
        <v>#N/A</v>
      </c>
      <c r="Q33" s="17" t="e">
        <f ca="1">GridCalc</f>
        <v>#N/A</v>
      </c>
      <c r="R33" s="17" t="e">
        <f ca="1">GridCalc</f>
        <v>#N/A</v>
      </c>
      <c r="S33" s="17" t="e">
        <f ca="1">GridCalc</f>
        <v>#N/A</v>
      </c>
      <c r="T33" s="17" t="e">
        <f ca="1">GridCalc</f>
        <v>#N/A</v>
      </c>
      <c r="U33" s="17" t="e">
        <f ca="1">GridCalc</f>
        <v>#N/A</v>
      </c>
      <c r="V33" s="17" t="e">
        <f ca="1">GridCalc</f>
        <v>#N/A</v>
      </c>
      <c r="W33" s="17" t="e">
        <f ca="1">GridCalc</f>
        <v>#N/A</v>
      </c>
      <c r="X33" s="17" t="e">
        <f ca="1">GridCalc</f>
        <v>#N/A</v>
      </c>
      <c r="Y33" s="17" t="e">
        <f ca="1">GridCalc</f>
        <v>#N/A</v>
      </c>
      <c r="Z33" s="17" t="e">
        <f ca="1">GridCalc</f>
        <v>#N/A</v>
      </c>
      <c r="AA33" s="17" t="e">
        <f ca="1">GridCalc</f>
        <v>#N/A</v>
      </c>
      <c r="AB33" s="17" t="e">
        <f ca="1">GridCalc</f>
        <v>#N/A</v>
      </c>
      <c r="AC33" s="17" t="e">
        <f ca="1">GridCalc</f>
        <v>#N/A</v>
      </c>
      <c r="AD33" s="17" t="e">
        <f ca="1">GridCalc</f>
        <v>#N/A</v>
      </c>
      <c r="AE33" s="17" t="e">
        <f ca="1">GridCalc</f>
        <v>#N/A</v>
      </c>
      <c r="AF33" s="17" t="e">
        <f ca="1">GridCalc</f>
        <v>#N/A</v>
      </c>
      <c r="AG33" s="17" t="e">
        <f ca="1">GridCalc</f>
        <v>#N/A</v>
      </c>
      <c r="AH33" s="17" t="e">
        <f ca="1">GridCalc</f>
        <v>#N/A</v>
      </c>
      <c r="AI33" s="17" t="e">
        <f ca="1">GridCalc</f>
        <v>#N/A</v>
      </c>
    </row>
    <row r="34" spans="1:35" x14ac:dyDescent="0.2">
      <c r="A34" s="17">
        <f t="shared" ref="A34:A40" si="3">A33-1</f>
        <v>9.3000000000000007</v>
      </c>
      <c r="B34" s="17">
        <v>3</v>
      </c>
      <c r="C34" s="17" t="e">
        <f t="shared" ca="1" si="2"/>
        <v>#N/A</v>
      </c>
      <c r="D34" s="17" t="e">
        <f ca="1">INDEX(Activities[活动],MATCH($C34,Activities[Id],0))</f>
        <v>#N/A</v>
      </c>
      <c r="E34" s="17" t="e">
        <f ca="1">GridCalc</f>
        <v>#N/A</v>
      </c>
      <c r="F34" s="17" t="e">
        <f ca="1">GridCalc</f>
        <v>#N/A</v>
      </c>
      <c r="G34" s="17" t="e">
        <f ca="1">GridCalc</f>
        <v>#N/A</v>
      </c>
      <c r="H34" s="17" t="e">
        <f ca="1">GridCalc</f>
        <v>#N/A</v>
      </c>
      <c r="I34" s="17" t="e">
        <f ca="1">GridCalc</f>
        <v>#N/A</v>
      </c>
      <c r="J34" s="17" t="e">
        <f ca="1">GridCalc</f>
        <v>#N/A</v>
      </c>
      <c r="K34" s="17" t="e">
        <f ca="1">GridCalc</f>
        <v>#N/A</v>
      </c>
      <c r="L34" s="17" t="e">
        <f ca="1">GridCalc</f>
        <v>#N/A</v>
      </c>
      <c r="M34" s="17" t="e">
        <f ca="1">GridCalc</f>
        <v>#N/A</v>
      </c>
      <c r="N34" s="17" t="e">
        <f ca="1">GridCalc</f>
        <v>#N/A</v>
      </c>
      <c r="O34" s="17" t="e">
        <f ca="1">GridCalc</f>
        <v>#N/A</v>
      </c>
      <c r="P34" s="17" t="e">
        <f ca="1">GridCalc</f>
        <v>#N/A</v>
      </c>
      <c r="Q34" s="17" t="e">
        <f ca="1">GridCalc</f>
        <v>#N/A</v>
      </c>
      <c r="R34" s="17" t="e">
        <f ca="1">GridCalc</f>
        <v>#N/A</v>
      </c>
      <c r="S34" s="17" t="e">
        <f ca="1">GridCalc</f>
        <v>#N/A</v>
      </c>
      <c r="T34" s="17" t="e">
        <f ca="1">GridCalc</f>
        <v>#N/A</v>
      </c>
      <c r="U34" s="17" t="e">
        <f ca="1">GridCalc</f>
        <v>#N/A</v>
      </c>
      <c r="V34" s="17" t="e">
        <f ca="1">GridCalc</f>
        <v>#N/A</v>
      </c>
      <c r="W34" s="17" t="e">
        <f ca="1">GridCalc</f>
        <v>#N/A</v>
      </c>
      <c r="X34" s="17" t="e">
        <f ca="1">GridCalc</f>
        <v>#N/A</v>
      </c>
      <c r="Y34" s="17" t="e">
        <f ca="1">GridCalc</f>
        <v>#N/A</v>
      </c>
      <c r="Z34" s="17" t="e">
        <f ca="1">GridCalc</f>
        <v>#N/A</v>
      </c>
      <c r="AA34" s="17" t="e">
        <f ca="1">GridCalc</f>
        <v>#N/A</v>
      </c>
      <c r="AB34" s="17" t="e">
        <f ca="1">GridCalc</f>
        <v>#N/A</v>
      </c>
      <c r="AC34" s="17" t="e">
        <f ca="1">GridCalc</f>
        <v>#N/A</v>
      </c>
      <c r="AD34" s="17" t="e">
        <f ca="1">GridCalc</f>
        <v>#N/A</v>
      </c>
      <c r="AE34" s="17" t="e">
        <f ca="1">GridCalc</f>
        <v>#N/A</v>
      </c>
      <c r="AF34" s="17" t="e">
        <f ca="1">GridCalc</f>
        <v>#N/A</v>
      </c>
      <c r="AG34" s="17" t="e">
        <f ca="1">GridCalc</f>
        <v>#N/A</v>
      </c>
      <c r="AH34" s="17" t="e">
        <f ca="1">GridCalc</f>
        <v>#N/A</v>
      </c>
      <c r="AI34" s="17" t="e">
        <f ca="1">GridCalc</f>
        <v>#N/A</v>
      </c>
    </row>
    <row r="35" spans="1:35" x14ac:dyDescent="0.2">
      <c r="A35" s="17">
        <f t="shared" si="3"/>
        <v>8.3000000000000007</v>
      </c>
      <c r="B35" s="17">
        <v>4</v>
      </c>
      <c r="C35" s="17" t="e">
        <f t="shared" ca="1" si="2"/>
        <v>#N/A</v>
      </c>
      <c r="D35" s="17" t="e">
        <f ca="1">INDEX(Activities[活动],MATCH($C35,Activities[Id],0))</f>
        <v>#N/A</v>
      </c>
      <c r="E35" s="17" t="e">
        <f ca="1">GridCalc</f>
        <v>#N/A</v>
      </c>
      <c r="F35" s="17" t="e">
        <f ca="1">GridCalc</f>
        <v>#N/A</v>
      </c>
      <c r="G35" s="17" t="e">
        <f ca="1">GridCalc</f>
        <v>#N/A</v>
      </c>
      <c r="H35" s="17" t="e">
        <f ca="1">GridCalc</f>
        <v>#N/A</v>
      </c>
      <c r="I35" s="17" t="e">
        <f ca="1">GridCalc</f>
        <v>#N/A</v>
      </c>
      <c r="J35" s="17" t="e">
        <f ca="1">GridCalc</f>
        <v>#N/A</v>
      </c>
      <c r="K35" s="17" t="e">
        <f ca="1">GridCalc</f>
        <v>#N/A</v>
      </c>
      <c r="L35" s="17" t="e">
        <f ca="1">GridCalc</f>
        <v>#N/A</v>
      </c>
      <c r="M35" s="17" t="e">
        <f ca="1">GridCalc</f>
        <v>#N/A</v>
      </c>
      <c r="N35" s="17" t="e">
        <f ca="1">GridCalc</f>
        <v>#N/A</v>
      </c>
      <c r="O35" s="17" t="e">
        <f ca="1">GridCalc</f>
        <v>#N/A</v>
      </c>
      <c r="P35" s="17" t="e">
        <f ca="1">GridCalc</f>
        <v>#N/A</v>
      </c>
      <c r="Q35" s="17" t="e">
        <f ca="1">GridCalc</f>
        <v>#N/A</v>
      </c>
      <c r="R35" s="17" t="e">
        <f ca="1">GridCalc</f>
        <v>#N/A</v>
      </c>
      <c r="S35" s="17" t="e">
        <f ca="1">GridCalc</f>
        <v>#N/A</v>
      </c>
      <c r="T35" s="17" t="e">
        <f ca="1">GridCalc</f>
        <v>#N/A</v>
      </c>
      <c r="U35" s="17" t="e">
        <f ca="1">GridCalc</f>
        <v>#N/A</v>
      </c>
      <c r="V35" s="17" t="e">
        <f ca="1">GridCalc</f>
        <v>#N/A</v>
      </c>
      <c r="W35" s="17" t="e">
        <f ca="1">GridCalc</f>
        <v>#N/A</v>
      </c>
      <c r="X35" s="17" t="e">
        <f ca="1">GridCalc</f>
        <v>#N/A</v>
      </c>
      <c r="Y35" s="17" t="e">
        <f ca="1">GridCalc</f>
        <v>#N/A</v>
      </c>
      <c r="Z35" s="17" t="e">
        <f ca="1">GridCalc</f>
        <v>#N/A</v>
      </c>
      <c r="AA35" s="17" t="e">
        <f ca="1">GridCalc</f>
        <v>#N/A</v>
      </c>
      <c r="AB35" s="17" t="e">
        <f ca="1">GridCalc</f>
        <v>#N/A</v>
      </c>
      <c r="AC35" s="17" t="e">
        <f ca="1">GridCalc</f>
        <v>#N/A</v>
      </c>
      <c r="AD35" s="17" t="e">
        <f ca="1">GridCalc</f>
        <v>#N/A</v>
      </c>
      <c r="AE35" s="17" t="e">
        <f ca="1">GridCalc</f>
        <v>#N/A</v>
      </c>
      <c r="AF35" s="17" t="e">
        <f ca="1">GridCalc</f>
        <v>#N/A</v>
      </c>
      <c r="AG35" s="17" t="e">
        <f ca="1">GridCalc</f>
        <v>#N/A</v>
      </c>
      <c r="AH35" s="17" t="e">
        <f ca="1">GridCalc</f>
        <v>#N/A</v>
      </c>
      <c r="AI35" s="17" t="e">
        <f ca="1">GridCalc</f>
        <v>#N/A</v>
      </c>
    </row>
    <row r="36" spans="1:35" x14ac:dyDescent="0.2">
      <c r="A36" s="17">
        <f t="shared" si="3"/>
        <v>7.3000000000000007</v>
      </c>
      <c r="B36" s="17">
        <v>5</v>
      </c>
      <c r="C36" s="17">
        <f t="shared" ca="1" si="2"/>
        <v>1</v>
      </c>
      <c r="D36" s="17" t="str">
        <f ca="1">INDEX(Activities[活动],MATCH($C36,Activities[Id],0))</f>
        <v>项目开始</v>
      </c>
      <c r="E36" s="17" t="e">
        <f ca="1">GridCalc</f>
        <v>#N/A</v>
      </c>
      <c r="F36" s="17" t="e">
        <f ca="1">GridCalc</f>
        <v>#N/A</v>
      </c>
      <c r="G36" s="17" t="e">
        <f ca="1">GridCalc</f>
        <v>#N/A</v>
      </c>
      <c r="H36" s="17">
        <f ca="1">GridCalc</f>
        <v>7.3000000000000007</v>
      </c>
      <c r="I36" s="17" t="e">
        <f ca="1">GridCalc</f>
        <v>#N/A</v>
      </c>
      <c r="J36" s="17" t="e">
        <f ca="1">GridCalc</f>
        <v>#N/A</v>
      </c>
      <c r="K36" s="17" t="e">
        <f ca="1">GridCalc</f>
        <v>#N/A</v>
      </c>
      <c r="L36" s="17" t="e">
        <f ca="1">GridCalc</f>
        <v>#N/A</v>
      </c>
      <c r="M36" s="17" t="e">
        <f ca="1">GridCalc</f>
        <v>#N/A</v>
      </c>
      <c r="N36" s="17" t="e">
        <f ca="1">GridCalc</f>
        <v>#N/A</v>
      </c>
      <c r="O36" s="17" t="e">
        <f ca="1">GridCalc</f>
        <v>#N/A</v>
      </c>
      <c r="P36" s="17" t="e">
        <f ca="1">GridCalc</f>
        <v>#N/A</v>
      </c>
      <c r="Q36" s="17" t="e">
        <f ca="1">GridCalc</f>
        <v>#N/A</v>
      </c>
      <c r="R36" s="17" t="e">
        <f ca="1">GridCalc</f>
        <v>#N/A</v>
      </c>
      <c r="S36" s="17" t="e">
        <f ca="1">GridCalc</f>
        <v>#N/A</v>
      </c>
      <c r="T36" s="17" t="e">
        <f ca="1">GridCalc</f>
        <v>#N/A</v>
      </c>
      <c r="U36" s="17" t="e">
        <f ca="1">GridCalc</f>
        <v>#N/A</v>
      </c>
      <c r="V36" s="17" t="e">
        <f ca="1">GridCalc</f>
        <v>#N/A</v>
      </c>
      <c r="W36" s="17" t="e">
        <f ca="1">GridCalc</f>
        <v>#N/A</v>
      </c>
      <c r="X36" s="17" t="e">
        <f ca="1">GridCalc</f>
        <v>#N/A</v>
      </c>
      <c r="Y36" s="17" t="e">
        <f ca="1">GridCalc</f>
        <v>#N/A</v>
      </c>
      <c r="Z36" s="17" t="e">
        <f ca="1">GridCalc</f>
        <v>#N/A</v>
      </c>
      <c r="AA36" s="17" t="e">
        <f ca="1">GridCalc</f>
        <v>#N/A</v>
      </c>
      <c r="AB36" s="17" t="e">
        <f ca="1">GridCalc</f>
        <v>#N/A</v>
      </c>
      <c r="AC36" s="17" t="e">
        <f ca="1">GridCalc</f>
        <v>#N/A</v>
      </c>
      <c r="AD36" s="17" t="e">
        <f ca="1">GridCalc</f>
        <v>#N/A</v>
      </c>
      <c r="AE36" s="17" t="e">
        <f ca="1">GridCalc</f>
        <v>#N/A</v>
      </c>
      <c r="AF36" s="17" t="e">
        <f ca="1">GridCalc</f>
        <v>#N/A</v>
      </c>
      <c r="AG36" s="17" t="e">
        <f ca="1">GridCalc</f>
        <v>#N/A</v>
      </c>
      <c r="AH36" s="17" t="e">
        <f ca="1">GridCalc</f>
        <v>#N/A</v>
      </c>
      <c r="AI36" s="17" t="e">
        <f ca="1">GridCalc</f>
        <v>#N/A</v>
      </c>
    </row>
    <row r="37" spans="1:35" x14ac:dyDescent="0.2">
      <c r="A37" s="17">
        <f t="shared" si="3"/>
        <v>6.3000000000000007</v>
      </c>
      <c r="B37" s="17">
        <v>6</v>
      </c>
      <c r="C37" s="17">
        <f t="shared" ca="1" si="2"/>
        <v>2</v>
      </c>
      <c r="D37" s="17" t="str">
        <f ca="1">INDEX(Activities[活动],MATCH($C37,Activities[Id],0))</f>
        <v>里程碑 1</v>
      </c>
      <c r="E37" s="17" t="e">
        <f ca="1">GridCalc</f>
        <v>#N/A</v>
      </c>
      <c r="F37" s="17" t="e">
        <f ca="1">GridCalc</f>
        <v>#N/A</v>
      </c>
      <c r="G37" s="17" t="e">
        <f ca="1">GridCalc</f>
        <v>#N/A</v>
      </c>
      <c r="H37" s="17" t="e">
        <f ca="1">GridCalc</f>
        <v>#N/A</v>
      </c>
      <c r="I37" s="17" t="e">
        <f ca="1">GridCalc</f>
        <v>#N/A</v>
      </c>
      <c r="J37" s="17" t="e">
        <f ca="1">GridCalc</f>
        <v>#N/A</v>
      </c>
      <c r="K37" s="17" t="e">
        <f ca="1">GridCalc</f>
        <v>#N/A</v>
      </c>
      <c r="L37" s="17" t="e">
        <f ca="1">GridCalc</f>
        <v>#N/A</v>
      </c>
      <c r="M37" s="17" t="e">
        <f ca="1">GridCalc</f>
        <v>#N/A</v>
      </c>
      <c r="N37" s="17" t="e">
        <f ca="1">GridCalc</f>
        <v>#N/A</v>
      </c>
      <c r="O37" s="17" t="e">
        <f ca="1">GridCalc</f>
        <v>#N/A</v>
      </c>
      <c r="P37" s="17" t="e">
        <f ca="1">GridCalc</f>
        <v>#N/A</v>
      </c>
      <c r="Q37" s="17" t="e">
        <f ca="1">GridCalc</f>
        <v>#N/A</v>
      </c>
      <c r="R37" s="17">
        <f ca="1">GridCalc</f>
        <v>6.3000000000000007</v>
      </c>
      <c r="S37" s="17">
        <f ca="1">GridCalc</f>
        <v>6.3000000000000007</v>
      </c>
      <c r="T37" s="17">
        <f ca="1">GridCalc</f>
        <v>6.3000000000000007</v>
      </c>
      <c r="U37" s="17">
        <f ca="1">GridCalc</f>
        <v>6.3000000000000007</v>
      </c>
      <c r="V37" s="17" t="e">
        <f ca="1">GridCalc</f>
        <v>#N/A</v>
      </c>
      <c r="W37" s="17" t="e">
        <f ca="1">GridCalc</f>
        <v>#N/A</v>
      </c>
      <c r="X37" s="17" t="e">
        <f ca="1">GridCalc</f>
        <v>#N/A</v>
      </c>
      <c r="Y37" s="17" t="e">
        <f ca="1">GridCalc</f>
        <v>#N/A</v>
      </c>
      <c r="Z37" s="17" t="e">
        <f ca="1">GridCalc</f>
        <v>#N/A</v>
      </c>
      <c r="AA37" s="17" t="e">
        <f ca="1">GridCalc</f>
        <v>#N/A</v>
      </c>
      <c r="AB37" s="17" t="e">
        <f ca="1">GridCalc</f>
        <v>#N/A</v>
      </c>
      <c r="AC37" s="17" t="e">
        <f ca="1">GridCalc</f>
        <v>#N/A</v>
      </c>
      <c r="AD37" s="17" t="e">
        <f ca="1">GridCalc</f>
        <v>#N/A</v>
      </c>
      <c r="AE37" s="17" t="e">
        <f ca="1">GridCalc</f>
        <v>#N/A</v>
      </c>
      <c r="AF37" s="17" t="e">
        <f ca="1">GridCalc</f>
        <v>#N/A</v>
      </c>
      <c r="AG37" s="17" t="e">
        <f ca="1">GridCalc</f>
        <v>#N/A</v>
      </c>
      <c r="AH37" s="17" t="e">
        <f ca="1">GridCalc</f>
        <v>#N/A</v>
      </c>
      <c r="AI37" s="17" t="e">
        <f ca="1">GridCalc</f>
        <v>#N/A</v>
      </c>
    </row>
    <row r="38" spans="1:35" x14ac:dyDescent="0.2">
      <c r="A38" s="17">
        <f t="shared" si="3"/>
        <v>5.3000000000000007</v>
      </c>
      <c r="B38" s="17">
        <v>7</v>
      </c>
      <c r="C38" s="17">
        <f t="shared" ca="1" si="2"/>
        <v>3</v>
      </c>
      <c r="D38" s="17" t="str">
        <f ca="1">INDEX(Activities[活动],MATCH($C38,Activities[Id],0))</f>
        <v>里程碑 2</v>
      </c>
      <c r="E38" s="17" t="e">
        <f ca="1">GridCalc</f>
        <v>#N/A</v>
      </c>
      <c r="F38" s="17" t="e">
        <f ca="1">GridCalc</f>
        <v>#N/A</v>
      </c>
      <c r="G38" s="17" t="e">
        <f ca="1">GridCalc</f>
        <v>#N/A</v>
      </c>
      <c r="H38" s="17" t="e">
        <f ca="1">GridCalc</f>
        <v>#N/A</v>
      </c>
      <c r="I38" s="17" t="e">
        <f ca="1">GridCalc</f>
        <v>#N/A</v>
      </c>
      <c r="J38" s="17" t="e">
        <f ca="1">GridCalc</f>
        <v>#N/A</v>
      </c>
      <c r="K38" s="17" t="e">
        <f ca="1">GridCalc</f>
        <v>#N/A</v>
      </c>
      <c r="L38" s="17" t="e">
        <f ca="1">GridCalc</f>
        <v>#N/A</v>
      </c>
      <c r="M38" s="17" t="e">
        <f ca="1">GridCalc</f>
        <v>#N/A</v>
      </c>
      <c r="N38" s="17" t="e">
        <f ca="1">GridCalc</f>
        <v>#N/A</v>
      </c>
      <c r="O38" s="17" t="e">
        <f ca="1">GridCalc</f>
        <v>#N/A</v>
      </c>
      <c r="P38" s="17" t="e">
        <f ca="1">GridCalc</f>
        <v>#N/A</v>
      </c>
      <c r="Q38" s="17" t="e">
        <f ca="1">GridCalc</f>
        <v>#N/A</v>
      </c>
      <c r="R38" s="17" t="e">
        <f ca="1">GridCalc</f>
        <v>#N/A</v>
      </c>
      <c r="S38" s="17">
        <f ca="1">GridCalc</f>
        <v>5.3000000000000007</v>
      </c>
      <c r="T38" s="17">
        <f ca="1">GridCalc</f>
        <v>5.3000000000000007</v>
      </c>
      <c r="U38" s="17">
        <f ca="1">GridCalc</f>
        <v>5.3000000000000007</v>
      </c>
      <c r="V38" s="17">
        <f ca="1">GridCalc</f>
        <v>5.3000000000000007</v>
      </c>
      <c r="W38" s="17" t="e">
        <f ca="1">GridCalc</f>
        <v>#N/A</v>
      </c>
      <c r="X38" s="17" t="e">
        <f ca="1">GridCalc</f>
        <v>#N/A</v>
      </c>
      <c r="Y38" s="17" t="e">
        <f ca="1">GridCalc</f>
        <v>#N/A</v>
      </c>
      <c r="Z38" s="17" t="e">
        <f ca="1">GridCalc</f>
        <v>#N/A</v>
      </c>
      <c r="AA38" s="17" t="e">
        <f ca="1">GridCalc</f>
        <v>#N/A</v>
      </c>
      <c r="AB38" s="17" t="e">
        <f ca="1">GridCalc</f>
        <v>#N/A</v>
      </c>
      <c r="AC38" s="17" t="e">
        <f ca="1">GridCalc</f>
        <v>#N/A</v>
      </c>
      <c r="AD38" s="17" t="e">
        <f ca="1">GridCalc</f>
        <v>#N/A</v>
      </c>
      <c r="AE38" s="17" t="e">
        <f ca="1">GridCalc</f>
        <v>#N/A</v>
      </c>
      <c r="AF38" s="17" t="e">
        <f ca="1">GridCalc</f>
        <v>#N/A</v>
      </c>
      <c r="AG38" s="17" t="e">
        <f ca="1">GridCalc</f>
        <v>#N/A</v>
      </c>
      <c r="AH38" s="17" t="e">
        <f ca="1">GridCalc</f>
        <v>#N/A</v>
      </c>
      <c r="AI38" s="17" t="e">
        <f ca="1">GridCalc</f>
        <v>#N/A</v>
      </c>
    </row>
    <row r="39" spans="1:35" x14ac:dyDescent="0.2">
      <c r="A39" s="17">
        <f t="shared" si="3"/>
        <v>4.3000000000000007</v>
      </c>
      <c r="B39" s="17">
        <v>8</v>
      </c>
      <c r="C39" s="17">
        <f t="shared" ca="1" si="2"/>
        <v>4</v>
      </c>
      <c r="D39" s="17" t="str">
        <f ca="1">INDEX(Activities[活动],MATCH($C39,Activities[Id],0))</f>
        <v>里程碑 3</v>
      </c>
      <c r="E39" s="17" t="e">
        <f ca="1">GridCalc</f>
        <v>#N/A</v>
      </c>
      <c r="F39" s="17" t="e">
        <f ca="1">GridCalc</f>
        <v>#N/A</v>
      </c>
      <c r="G39" s="17" t="e">
        <f ca="1">GridCalc</f>
        <v>#N/A</v>
      </c>
      <c r="H39" s="17" t="e">
        <f ca="1">GridCalc</f>
        <v>#N/A</v>
      </c>
      <c r="I39" s="17" t="e">
        <f ca="1">GridCalc</f>
        <v>#N/A</v>
      </c>
      <c r="J39" s="17" t="e">
        <f ca="1">GridCalc</f>
        <v>#N/A</v>
      </c>
      <c r="K39" s="17" t="e">
        <f ca="1">GridCalc</f>
        <v>#N/A</v>
      </c>
      <c r="L39" s="17" t="e">
        <f ca="1">GridCalc</f>
        <v>#N/A</v>
      </c>
      <c r="M39" s="17" t="e">
        <f ca="1">GridCalc</f>
        <v>#N/A</v>
      </c>
      <c r="N39" s="17" t="e">
        <f ca="1">GridCalc</f>
        <v>#N/A</v>
      </c>
      <c r="O39" s="17" t="e">
        <f ca="1">GridCalc</f>
        <v>#N/A</v>
      </c>
      <c r="P39" s="17" t="e">
        <f ca="1">GridCalc</f>
        <v>#N/A</v>
      </c>
      <c r="Q39" s="17" t="e">
        <f ca="1">GridCalc</f>
        <v>#N/A</v>
      </c>
      <c r="R39" s="17" t="e">
        <f ca="1">GridCalc</f>
        <v>#N/A</v>
      </c>
      <c r="S39" s="17" t="e">
        <f ca="1">GridCalc</f>
        <v>#N/A</v>
      </c>
      <c r="T39" s="17" t="e">
        <f ca="1">GridCalc</f>
        <v>#N/A</v>
      </c>
      <c r="U39" s="17" t="e">
        <f ca="1">GridCalc</f>
        <v>#N/A</v>
      </c>
      <c r="V39" s="17" t="e">
        <f ca="1">GridCalc</f>
        <v>#N/A</v>
      </c>
      <c r="W39" s="17" t="e">
        <f ca="1">GridCalc</f>
        <v>#N/A</v>
      </c>
      <c r="X39" s="17">
        <f ca="1">GridCalc</f>
        <v>4.3000000000000007</v>
      </c>
      <c r="Y39" s="17" t="e">
        <f ca="1">GridCalc</f>
        <v>#N/A</v>
      </c>
      <c r="Z39" s="17" t="e">
        <f ca="1">GridCalc</f>
        <v>#N/A</v>
      </c>
      <c r="AA39" s="17" t="e">
        <f ca="1">GridCalc</f>
        <v>#N/A</v>
      </c>
      <c r="AB39" s="17" t="e">
        <f ca="1">GridCalc</f>
        <v>#N/A</v>
      </c>
      <c r="AC39" s="17" t="e">
        <f ca="1">GridCalc</f>
        <v>#N/A</v>
      </c>
      <c r="AD39" s="17" t="e">
        <f ca="1">GridCalc</f>
        <v>#N/A</v>
      </c>
      <c r="AE39" s="17" t="e">
        <f ca="1">GridCalc</f>
        <v>#N/A</v>
      </c>
      <c r="AF39" s="17" t="e">
        <f ca="1">GridCalc</f>
        <v>#N/A</v>
      </c>
      <c r="AG39" s="17" t="e">
        <f ca="1">GridCalc</f>
        <v>#N/A</v>
      </c>
      <c r="AH39" s="17" t="e">
        <f ca="1">GridCalc</f>
        <v>#N/A</v>
      </c>
      <c r="AI39" s="17" t="e">
        <f ca="1">GridCalc</f>
        <v>#N/A</v>
      </c>
    </row>
    <row r="40" spans="1:35" x14ac:dyDescent="0.2">
      <c r="A40" s="17">
        <f t="shared" si="3"/>
        <v>3.3000000000000007</v>
      </c>
      <c r="B40" s="17">
        <v>9</v>
      </c>
      <c r="C40" s="17">
        <f t="shared" ca="1" si="2"/>
        <v>5</v>
      </c>
      <c r="D40" s="17" t="str">
        <f ca="1">INDEX(Activities[活动],MATCH($C40,Activities[Id],0))</f>
        <v>里程碑 4</v>
      </c>
      <c r="E40" s="17" t="e">
        <f ca="1">GridCalc</f>
        <v>#N/A</v>
      </c>
      <c r="F40" s="17" t="e">
        <f ca="1">GridCalc</f>
        <v>#N/A</v>
      </c>
      <c r="G40" s="17" t="e">
        <f ca="1">GridCalc</f>
        <v>#N/A</v>
      </c>
      <c r="H40" s="17" t="e">
        <f ca="1">GridCalc</f>
        <v>#N/A</v>
      </c>
      <c r="I40" s="17" t="e">
        <f ca="1">GridCalc</f>
        <v>#N/A</v>
      </c>
      <c r="J40" s="17" t="e">
        <f ca="1">GridCalc</f>
        <v>#N/A</v>
      </c>
      <c r="K40" s="17" t="e">
        <f ca="1">GridCalc</f>
        <v>#N/A</v>
      </c>
      <c r="L40" s="17" t="e">
        <f ca="1">GridCalc</f>
        <v>#N/A</v>
      </c>
      <c r="M40" s="17" t="e">
        <f ca="1">GridCalc</f>
        <v>#N/A</v>
      </c>
      <c r="N40" s="17" t="e">
        <f ca="1">GridCalc</f>
        <v>#N/A</v>
      </c>
      <c r="O40" s="17" t="e">
        <f ca="1">GridCalc</f>
        <v>#N/A</v>
      </c>
      <c r="P40" s="17" t="e">
        <f ca="1">GridCalc</f>
        <v>#N/A</v>
      </c>
      <c r="Q40" s="17" t="e">
        <f ca="1">GridCalc</f>
        <v>#N/A</v>
      </c>
      <c r="R40" s="17" t="e">
        <f ca="1">GridCalc</f>
        <v>#N/A</v>
      </c>
      <c r="S40" s="17" t="e">
        <f ca="1">GridCalc</f>
        <v>#N/A</v>
      </c>
      <c r="T40" s="17" t="e">
        <f ca="1">GridCalc</f>
        <v>#N/A</v>
      </c>
      <c r="U40" s="17" t="e">
        <f ca="1">GridCalc</f>
        <v>#N/A</v>
      </c>
      <c r="V40" s="17" t="e">
        <f ca="1">GridCalc</f>
        <v>#N/A</v>
      </c>
      <c r="W40" s="17" t="e">
        <f ca="1">GridCalc</f>
        <v>#N/A</v>
      </c>
      <c r="X40" s="17" t="e">
        <f ca="1">GridCalc</f>
        <v>#N/A</v>
      </c>
      <c r="Y40" s="17" t="e">
        <f ca="1">GridCalc</f>
        <v>#N/A</v>
      </c>
      <c r="Z40" s="17" t="e">
        <f ca="1">GridCalc</f>
        <v>#N/A</v>
      </c>
      <c r="AA40" s="17" t="e">
        <f ca="1">GridCalc</f>
        <v>#N/A</v>
      </c>
      <c r="AB40" s="17" t="e">
        <f ca="1">GridCalc</f>
        <v>#N/A</v>
      </c>
      <c r="AC40" s="17" t="e">
        <f ca="1">GridCalc</f>
        <v>#N/A</v>
      </c>
      <c r="AD40" s="17" t="e">
        <f ca="1">GridCalc</f>
        <v>#N/A</v>
      </c>
      <c r="AE40" s="17" t="e">
        <f ca="1">GridCalc</f>
        <v>#N/A</v>
      </c>
      <c r="AF40" s="17" t="e">
        <f ca="1">GridCalc</f>
        <v>#N/A</v>
      </c>
      <c r="AG40" s="17" t="e">
        <f ca="1">GridCalc</f>
        <v>#N/A</v>
      </c>
      <c r="AH40" s="17">
        <f ca="1">GridCalc</f>
        <v>3.3000000000000007</v>
      </c>
      <c r="AI40" s="17">
        <f ca="1">GridCalc</f>
        <v>3.3000000000000007</v>
      </c>
    </row>
    <row r="43" spans="1:35" x14ac:dyDescent="0.2">
      <c r="E43" s="18">
        <f ca="1">E31</f>
        <v>41175</v>
      </c>
      <c r="F43" s="18">
        <f t="shared" ref="F43:AH43" ca="1" si="4">F31</f>
        <v>41176</v>
      </c>
      <c r="G43" s="18">
        <f t="shared" ca="1" si="4"/>
        <v>41177</v>
      </c>
      <c r="H43" s="18">
        <f t="shared" ca="1" si="4"/>
        <v>41178</v>
      </c>
      <c r="I43" s="18">
        <f t="shared" ca="1" si="4"/>
        <v>41179</v>
      </c>
      <c r="J43" s="18">
        <f t="shared" ca="1" si="4"/>
        <v>41180</v>
      </c>
      <c r="K43" s="18">
        <f t="shared" ca="1" si="4"/>
        <v>41181</v>
      </c>
      <c r="L43" s="18">
        <f t="shared" ca="1" si="4"/>
        <v>41182</v>
      </c>
      <c r="M43" s="18">
        <f t="shared" ca="1" si="4"/>
        <v>41183</v>
      </c>
      <c r="N43" s="18">
        <f t="shared" ca="1" si="4"/>
        <v>41184</v>
      </c>
      <c r="O43" s="18">
        <f t="shared" ca="1" si="4"/>
        <v>41185</v>
      </c>
      <c r="P43" s="18">
        <f t="shared" ca="1" si="4"/>
        <v>41186</v>
      </c>
      <c r="Q43" s="18">
        <f t="shared" ca="1" si="4"/>
        <v>41187</v>
      </c>
      <c r="R43" s="18">
        <f t="shared" ca="1" si="4"/>
        <v>41188</v>
      </c>
      <c r="S43" s="18">
        <f t="shared" ca="1" si="4"/>
        <v>41189</v>
      </c>
      <c r="T43" s="18">
        <f t="shared" ca="1" si="4"/>
        <v>41190</v>
      </c>
      <c r="U43" s="18">
        <f t="shared" ca="1" si="4"/>
        <v>41191</v>
      </c>
      <c r="V43" s="18">
        <f t="shared" ca="1" si="4"/>
        <v>41192</v>
      </c>
      <c r="W43" s="18">
        <f t="shared" ca="1" si="4"/>
        <v>41193</v>
      </c>
      <c r="X43" s="18">
        <f t="shared" ca="1" si="4"/>
        <v>41194</v>
      </c>
      <c r="Y43" s="18">
        <f t="shared" ca="1" si="4"/>
        <v>41195</v>
      </c>
      <c r="Z43" s="18">
        <f t="shared" ca="1" si="4"/>
        <v>41196</v>
      </c>
      <c r="AA43" s="18">
        <f t="shared" ca="1" si="4"/>
        <v>41197</v>
      </c>
      <c r="AB43" s="18">
        <f t="shared" ca="1" si="4"/>
        <v>41198</v>
      </c>
      <c r="AC43" s="18">
        <f t="shared" ca="1" si="4"/>
        <v>41199</v>
      </c>
      <c r="AD43" s="18">
        <f t="shared" ca="1" si="4"/>
        <v>41200</v>
      </c>
      <c r="AE43" s="18">
        <f t="shared" ca="1" si="4"/>
        <v>41201</v>
      </c>
      <c r="AF43" s="18">
        <f t="shared" ca="1" si="4"/>
        <v>41202</v>
      </c>
      <c r="AG43" s="18">
        <f t="shared" ca="1" si="4"/>
        <v>41203</v>
      </c>
      <c r="AH43" s="18">
        <f t="shared" ca="1" si="4"/>
        <v>41204</v>
      </c>
    </row>
    <row r="44" spans="1:35" x14ac:dyDescent="0.2">
      <c r="C44" s="17" t="e">
        <f ca="1">C32</f>
        <v>#N/A</v>
      </c>
      <c r="D44" s="17" t="e">
        <f ca="1">UPPER(INDEX(Activities[活动],MATCH($C44,Activities[Id],0)))</f>
        <v>#N/A</v>
      </c>
      <c r="E44" s="17" t="e">
        <f t="shared" ref="E44:AH44" ca="1" si="5">IF(ISERROR(F32),E32,NA())</f>
        <v>#N/A</v>
      </c>
      <c r="F44" s="17" t="e">
        <f t="shared" ca="1" si="5"/>
        <v>#N/A</v>
      </c>
      <c r="G44" s="17" t="e">
        <f t="shared" ca="1" si="5"/>
        <v>#N/A</v>
      </c>
      <c r="H44" s="17" t="e">
        <f t="shared" ca="1" si="5"/>
        <v>#N/A</v>
      </c>
      <c r="I44" s="17" t="e">
        <f t="shared" ca="1" si="5"/>
        <v>#N/A</v>
      </c>
      <c r="J44" s="17" t="e">
        <f t="shared" ca="1" si="5"/>
        <v>#N/A</v>
      </c>
      <c r="K44" s="17" t="e">
        <f t="shared" ca="1" si="5"/>
        <v>#N/A</v>
      </c>
      <c r="L44" s="17" t="e">
        <f t="shared" ca="1" si="5"/>
        <v>#N/A</v>
      </c>
      <c r="M44" s="17" t="e">
        <f t="shared" ca="1" si="5"/>
        <v>#N/A</v>
      </c>
      <c r="N44" s="17" t="e">
        <f t="shared" ca="1" si="5"/>
        <v>#N/A</v>
      </c>
      <c r="O44" s="17" t="e">
        <f t="shared" ca="1" si="5"/>
        <v>#N/A</v>
      </c>
      <c r="P44" s="17" t="e">
        <f t="shared" ca="1" si="5"/>
        <v>#N/A</v>
      </c>
      <c r="Q44" s="17" t="e">
        <f t="shared" ca="1" si="5"/>
        <v>#N/A</v>
      </c>
      <c r="R44" s="17" t="e">
        <f t="shared" ca="1" si="5"/>
        <v>#N/A</v>
      </c>
      <c r="S44" s="17" t="e">
        <f t="shared" ca="1" si="5"/>
        <v>#N/A</v>
      </c>
      <c r="T44" s="17" t="e">
        <f t="shared" ca="1" si="5"/>
        <v>#N/A</v>
      </c>
      <c r="U44" s="17" t="e">
        <f t="shared" ca="1" si="5"/>
        <v>#N/A</v>
      </c>
      <c r="V44" s="17" t="e">
        <f t="shared" ca="1" si="5"/>
        <v>#N/A</v>
      </c>
      <c r="W44" s="17" t="e">
        <f t="shared" ca="1" si="5"/>
        <v>#N/A</v>
      </c>
      <c r="X44" s="17" t="e">
        <f t="shared" ca="1" si="5"/>
        <v>#N/A</v>
      </c>
      <c r="Y44" s="17" t="e">
        <f t="shared" ca="1" si="5"/>
        <v>#N/A</v>
      </c>
      <c r="Z44" s="17" t="e">
        <f t="shared" ca="1" si="5"/>
        <v>#N/A</v>
      </c>
      <c r="AA44" s="17" t="e">
        <f t="shared" ca="1" si="5"/>
        <v>#N/A</v>
      </c>
      <c r="AB44" s="17" t="e">
        <f t="shared" ca="1" si="5"/>
        <v>#N/A</v>
      </c>
      <c r="AC44" s="17" t="e">
        <f t="shared" ca="1" si="5"/>
        <v>#N/A</v>
      </c>
      <c r="AD44" s="17" t="e">
        <f t="shared" ca="1" si="5"/>
        <v>#N/A</v>
      </c>
      <c r="AE44" s="17" t="e">
        <f t="shared" ca="1" si="5"/>
        <v>#N/A</v>
      </c>
      <c r="AF44" s="17" t="e">
        <f t="shared" ca="1" si="5"/>
        <v>#N/A</v>
      </c>
      <c r="AG44" s="17" t="e">
        <f t="shared" ca="1" si="5"/>
        <v>#N/A</v>
      </c>
      <c r="AH44" s="17" t="e">
        <f t="shared" ca="1" si="5"/>
        <v>#N/A</v>
      </c>
    </row>
    <row r="45" spans="1:35" x14ac:dyDescent="0.2">
      <c r="C45" s="17" t="e">
        <f t="shared" ref="C45:C52" ca="1" si="6">C33</f>
        <v>#N/A</v>
      </c>
      <c r="D45" s="17" t="e">
        <f ca="1">UPPER(INDEX(Activities[活动],MATCH($C45,Activities[Id],0)))</f>
        <v>#N/A</v>
      </c>
      <c r="E45" s="17" t="e">
        <f t="shared" ref="E45:AH45" ca="1" si="7">IF(ISERROR(F33),E33,NA())</f>
        <v>#N/A</v>
      </c>
      <c r="F45" s="17" t="e">
        <f t="shared" ca="1" si="7"/>
        <v>#N/A</v>
      </c>
      <c r="G45" s="17" t="e">
        <f t="shared" ca="1" si="7"/>
        <v>#N/A</v>
      </c>
      <c r="H45" s="17" t="e">
        <f t="shared" ca="1" si="7"/>
        <v>#N/A</v>
      </c>
      <c r="I45" s="17" t="e">
        <f t="shared" ca="1" si="7"/>
        <v>#N/A</v>
      </c>
      <c r="J45" s="17" t="e">
        <f t="shared" ca="1" si="7"/>
        <v>#N/A</v>
      </c>
      <c r="K45" s="17" t="e">
        <f t="shared" ca="1" si="7"/>
        <v>#N/A</v>
      </c>
      <c r="L45" s="17" t="e">
        <f t="shared" ca="1" si="7"/>
        <v>#N/A</v>
      </c>
      <c r="M45" s="17" t="e">
        <f t="shared" ca="1" si="7"/>
        <v>#N/A</v>
      </c>
      <c r="N45" s="17" t="e">
        <f t="shared" ca="1" si="7"/>
        <v>#N/A</v>
      </c>
      <c r="O45" s="17" t="e">
        <f t="shared" ca="1" si="7"/>
        <v>#N/A</v>
      </c>
      <c r="P45" s="17" t="e">
        <f t="shared" ca="1" si="7"/>
        <v>#N/A</v>
      </c>
      <c r="Q45" s="17" t="e">
        <f t="shared" ca="1" si="7"/>
        <v>#N/A</v>
      </c>
      <c r="R45" s="17" t="e">
        <f t="shared" ca="1" si="7"/>
        <v>#N/A</v>
      </c>
      <c r="S45" s="17" t="e">
        <f t="shared" ca="1" si="7"/>
        <v>#N/A</v>
      </c>
      <c r="T45" s="17" t="e">
        <f t="shared" ca="1" si="7"/>
        <v>#N/A</v>
      </c>
      <c r="U45" s="17" t="e">
        <f t="shared" ca="1" si="7"/>
        <v>#N/A</v>
      </c>
      <c r="V45" s="17" t="e">
        <f t="shared" ca="1" si="7"/>
        <v>#N/A</v>
      </c>
      <c r="W45" s="17" t="e">
        <f t="shared" ca="1" si="7"/>
        <v>#N/A</v>
      </c>
      <c r="X45" s="17" t="e">
        <f t="shared" ca="1" si="7"/>
        <v>#N/A</v>
      </c>
      <c r="Y45" s="17" t="e">
        <f t="shared" ca="1" si="7"/>
        <v>#N/A</v>
      </c>
      <c r="Z45" s="17" t="e">
        <f t="shared" ca="1" si="7"/>
        <v>#N/A</v>
      </c>
      <c r="AA45" s="17" t="e">
        <f t="shared" ca="1" si="7"/>
        <v>#N/A</v>
      </c>
      <c r="AB45" s="17" t="e">
        <f t="shared" ca="1" si="7"/>
        <v>#N/A</v>
      </c>
      <c r="AC45" s="17" t="e">
        <f t="shared" ca="1" si="7"/>
        <v>#N/A</v>
      </c>
      <c r="AD45" s="17" t="e">
        <f t="shared" ca="1" si="7"/>
        <v>#N/A</v>
      </c>
      <c r="AE45" s="17" t="e">
        <f t="shared" ca="1" si="7"/>
        <v>#N/A</v>
      </c>
      <c r="AF45" s="17" t="e">
        <f t="shared" ca="1" si="7"/>
        <v>#N/A</v>
      </c>
      <c r="AG45" s="17" t="e">
        <f t="shared" ca="1" si="7"/>
        <v>#N/A</v>
      </c>
      <c r="AH45" s="17" t="e">
        <f t="shared" ca="1" si="7"/>
        <v>#N/A</v>
      </c>
    </row>
    <row r="46" spans="1:35" x14ac:dyDescent="0.2">
      <c r="C46" s="17" t="e">
        <f t="shared" ca="1" si="6"/>
        <v>#N/A</v>
      </c>
      <c r="D46" s="17" t="e">
        <f ca="1">UPPER(INDEX(Activities[活动],MATCH($C46,Activities[Id],0)))</f>
        <v>#N/A</v>
      </c>
      <c r="E46" s="17" t="e">
        <f t="shared" ref="E46:AH46" ca="1" si="8">IF(ISERROR(F34),E34,NA())</f>
        <v>#N/A</v>
      </c>
      <c r="F46" s="17" t="e">
        <f t="shared" ca="1" si="8"/>
        <v>#N/A</v>
      </c>
      <c r="G46" s="17" t="e">
        <f t="shared" ca="1" si="8"/>
        <v>#N/A</v>
      </c>
      <c r="H46" s="17" t="e">
        <f t="shared" ca="1" si="8"/>
        <v>#N/A</v>
      </c>
      <c r="I46" s="17" t="e">
        <f t="shared" ca="1" si="8"/>
        <v>#N/A</v>
      </c>
      <c r="J46" s="17" t="e">
        <f t="shared" ca="1" si="8"/>
        <v>#N/A</v>
      </c>
      <c r="K46" s="17" t="e">
        <f t="shared" ca="1" si="8"/>
        <v>#N/A</v>
      </c>
      <c r="L46" s="17" t="e">
        <f t="shared" ca="1" si="8"/>
        <v>#N/A</v>
      </c>
      <c r="M46" s="17" t="e">
        <f t="shared" ca="1" si="8"/>
        <v>#N/A</v>
      </c>
      <c r="N46" s="17" t="e">
        <f t="shared" ca="1" si="8"/>
        <v>#N/A</v>
      </c>
      <c r="O46" s="17" t="e">
        <f t="shared" ca="1" si="8"/>
        <v>#N/A</v>
      </c>
      <c r="P46" s="17" t="e">
        <f t="shared" ca="1" si="8"/>
        <v>#N/A</v>
      </c>
      <c r="Q46" s="17" t="e">
        <f t="shared" ca="1" si="8"/>
        <v>#N/A</v>
      </c>
      <c r="R46" s="17" t="e">
        <f t="shared" ca="1" si="8"/>
        <v>#N/A</v>
      </c>
      <c r="S46" s="17" t="e">
        <f t="shared" ca="1" si="8"/>
        <v>#N/A</v>
      </c>
      <c r="T46" s="17" t="e">
        <f t="shared" ca="1" si="8"/>
        <v>#N/A</v>
      </c>
      <c r="U46" s="17" t="e">
        <f t="shared" ca="1" si="8"/>
        <v>#N/A</v>
      </c>
      <c r="V46" s="17" t="e">
        <f t="shared" ca="1" si="8"/>
        <v>#N/A</v>
      </c>
      <c r="W46" s="17" t="e">
        <f t="shared" ca="1" si="8"/>
        <v>#N/A</v>
      </c>
      <c r="X46" s="17" t="e">
        <f t="shared" ca="1" si="8"/>
        <v>#N/A</v>
      </c>
      <c r="Y46" s="17" t="e">
        <f t="shared" ca="1" si="8"/>
        <v>#N/A</v>
      </c>
      <c r="Z46" s="17" t="e">
        <f t="shared" ca="1" si="8"/>
        <v>#N/A</v>
      </c>
      <c r="AA46" s="17" t="e">
        <f t="shared" ca="1" si="8"/>
        <v>#N/A</v>
      </c>
      <c r="AB46" s="17" t="e">
        <f t="shared" ca="1" si="8"/>
        <v>#N/A</v>
      </c>
      <c r="AC46" s="17" t="e">
        <f t="shared" ca="1" si="8"/>
        <v>#N/A</v>
      </c>
      <c r="AD46" s="17" t="e">
        <f t="shared" ca="1" si="8"/>
        <v>#N/A</v>
      </c>
      <c r="AE46" s="17" t="e">
        <f t="shared" ca="1" si="8"/>
        <v>#N/A</v>
      </c>
      <c r="AF46" s="17" t="e">
        <f t="shared" ca="1" si="8"/>
        <v>#N/A</v>
      </c>
      <c r="AG46" s="17" t="e">
        <f t="shared" ca="1" si="8"/>
        <v>#N/A</v>
      </c>
      <c r="AH46" s="17" t="e">
        <f t="shared" ca="1" si="8"/>
        <v>#N/A</v>
      </c>
    </row>
    <row r="47" spans="1:35" x14ac:dyDescent="0.2">
      <c r="C47" s="17" t="e">
        <f t="shared" ca="1" si="6"/>
        <v>#N/A</v>
      </c>
      <c r="D47" s="17" t="e">
        <f ca="1">UPPER(INDEX(Activities[活动],MATCH($C47,Activities[Id],0)))</f>
        <v>#N/A</v>
      </c>
      <c r="E47" s="17" t="e">
        <f t="shared" ref="E47:AH47" ca="1" si="9">IF(ISERROR(F35),E35,NA())</f>
        <v>#N/A</v>
      </c>
      <c r="F47" s="17" t="e">
        <f t="shared" ca="1" si="9"/>
        <v>#N/A</v>
      </c>
      <c r="G47" s="17" t="e">
        <f t="shared" ca="1" si="9"/>
        <v>#N/A</v>
      </c>
      <c r="H47" s="17" t="e">
        <f t="shared" ca="1" si="9"/>
        <v>#N/A</v>
      </c>
      <c r="I47" s="17" t="e">
        <f t="shared" ca="1" si="9"/>
        <v>#N/A</v>
      </c>
      <c r="J47" s="17" t="e">
        <f t="shared" ca="1" si="9"/>
        <v>#N/A</v>
      </c>
      <c r="K47" s="17" t="e">
        <f t="shared" ca="1" si="9"/>
        <v>#N/A</v>
      </c>
      <c r="L47" s="17" t="e">
        <f t="shared" ca="1" si="9"/>
        <v>#N/A</v>
      </c>
      <c r="M47" s="17" t="e">
        <f t="shared" ca="1" si="9"/>
        <v>#N/A</v>
      </c>
      <c r="N47" s="17" t="e">
        <f t="shared" ca="1" si="9"/>
        <v>#N/A</v>
      </c>
      <c r="O47" s="17" t="e">
        <f t="shared" ca="1" si="9"/>
        <v>#N/A</v>
      </c>
      <c r="P47" s="17" t="e">
        <f t="shared" ca="1" si="9"/>
        <v>#N/A</v>
      </c>
      <c r="Q47" s="17" t="e">
        <f t="shared" ca="1" si="9"/>
        <v>#N/A</v>
      </c>
      <c r="R47" s="17" t="e">
        <f t="shared" ca="1" si="9"/>
        <v>#N/A</v>
      </c>
      <c r="S47" s="17" t="e">
        <f t="shared" ca="1" si="9"/>
        <v>#N/A</v>
      </c>
      <c r="T47" s="17" t="e">
        <f t="shared" ca="1" si="9"/>
        <v>#N/A</v>
      </c>
      <c r="U47" s="17" t="e">
        <f t="shared" ca="1" si="9"/>
        <v>#N/A</v>
      </c>
      <c r="V47" s="17" t="e">
        <f t="shared" ca="1" si="9"/>
        <v>#N/A</v>
      </c>
      <c r="W47" s="17" t="e">
        <f t="shared" ca="1" si="9"/>
        <v>#N/A</v>
      </c>
      <c r="X47" s="17" t="e">
        <f t="shared" ca="1" si="9"/>
        <v>#N/A</v>
      </c>
      <c r="Y47" s="17" t="e">
        <f t="shared" ca="1" si="9"/>
        <v>#N/A</v>
      </c>
      <c r="Z47" s="17" t="e">
        <f t="shared" ca="1" si="9"/>
        <v>#N/A</v>
      </c>
      <c r="AA47" s="17" t="e">
        <f t="shared" ca="1" si="9"/>
        <v>#N/A</v>
      </c>
      <c r="AB47" s="17" t="e">
        <f t="shared" ca="1" si="9"/>
        <v>#N/A</v>
      </c>
      <c r="AC47" s="17" t="e">
        <f t="shared" ca="1" si="9"/>
        <v>#N/A</v>
      </c>
      <c r="AD47" s="17" t="e">
        <f t="shared" ca="1" si="9"/>
        <v>#N/A</v>
      </c>
      <c r="AE47" s="17" t="e">
        <f t="shared" ca="1" si="9"/>
        <v>#N/A</v>
      </c>
      <c r="AF47" s="17" t="e">
        <f t="shared" ca="1" si="9"/>
        <v>#N/A</v>
      </c>
      <c r="AG47" s="17" t="e">
        <f t="shared" ca="1" si="9"/>
        <v>#N/A</v>
      </c>
      <c r="AH47" s="17" t="e">
        <f t="shared" ca="1" si="9"/>
        <v>#N/A</v>
      </c>
    </row>
    <row r="48" spans="1:35" x14ac:dyDescent="0.2">
      <c r="C48" s="17">
        <f t="shared" ca="1" si="6"/>
        <v>1</v>
      </c>
      <c r="D48" s="17" t="str">
        <f ca="1">UPPER(INDEX(Activities[活动],MATCH($C48,Activities[Id],0)))</f>
        <v>项目开始</v>
      </c>
      <c r="E48" s="17" t="e">
        <f t="shared" ref="E48:AH48" ca="1" si="10">IF(ISERROR(F36),E36,NA())</f>
        <v>#N/A</v>
      </c>
      <c r="F48" s="17" t="e">
        <f t="shared" ca="1" si="10"/>
        <v>#N/A</v>
      </c>
      <c r="G48" s="17" t="e">
        <f t="shared" ca="1" si="10"/>
        <v>#N/A</v>
      </c>
      <c r="H48" s="17">
        <f t="shared" ca="1" si="10"/>
        <v>7.3000000000000007</v>
      </c>
      <c r="I48" s="17" t="e">
        <f t="shared" ca="1" si="10"/>
        <v>#N/A</v>
      </c>
      <c r="J48" s="17" t="e">
        <f t="shared" ca="1" si="10"/>
        <v>#N/A</v>
      </c>
      <c r="K48" s="17" t="e">
        <f t="shared" ca="1" si="10"/>
        <v>#N/A</v>
      </c>
      <c r="L48" s="17" t="e">
        <f t="shared" ca="1" si="10"/>
        <v>#N/A</v>
      </c>
      <c r="M48" s="17" t="e">
        <f t="shared" ca="1" si="10"/>
        <v>#N/A</v>
      </c>
      <c r="N48" s="17" t="e">
        <f t="shared" ca="1" si="10"/>
        <v>#N/A</v>
      </c>
      <c r="O48" s="17" t="e">
        <f t="shared" ca="1" si="10"/>
        <v>#N/A</v>
      </c>
      <c r="P48" s="17" t="e">
        <f t="shared" ca="1" si="10"/>
        <v>#N/A</v>
      </c>
      <c r="Q48" s="17" t="e">
        <f t="shared" ca="1" si="10"/>
        <v>#N/A</v>
      </c>
      <c r="R48" s="17" t="e">
        <f t="shared" ca="1" si="10"/>
        <v>#N/A</v>
      </c>
      <c r="S48" s="17" t="e">
        <f t="shared" ca="1" si="10"/>
        <v>#N/A</v>
      </c>
      <c r="T48" s="17" t="e">
        <f t="shared" ca="1" si="10"/>
        <v>#N/A</v>
      </c>
      <c r="U48" s="17" t="e">
        <f t="shared" ca="1" si="10"/>
        <v>#N/A</v>
      </c>
      <c r="V48" s="17" t="e">
        <f t="shared" ca="1" si="10"/>
        <v>#N/A</v>
      </c>
      <c r="W48" s="17" t="e">
        <f t="shared" ca="1" si="10"/>
        <v>#N/A</v>
      </c>
      <c r="X48" s="17" t="e">
        <f t="shared" ca="1" si="10"/>
        <v>#N/A</v>
      </c>
      <c r="Y48" s="17" t="e">
        <f t="shared" ca="1" si="10"/>
        <v>#N/A</v>
      </c>
      <c r="Z48" s="17" t="e">
        <f t="shared" ca="1" si="10"/>
        <v>#N/A</v>
      </c>
      <c r="AA48" s="17" t="e">
        <f t="shared" ca="1" si="10"/>
        <v>#N/A</v>
      </c>
      <c r="AB48" s="17" t="e">
        <f t="shared" ca="1" si="10"/>
        <v>#N/A</v>
      </c>
      <c r="AC48" s="17" t="e">
        <f t="shared" ca="1" si="10"/>
        <v>#N/A</v>
      </c>
      <c r="AD48" s="17" t="e">
        <f t="shared" ca="1" si="10"/>
        <v>#N/A</v>
      </c>
      <c r="AE48" s="17" t="e">
        <f t="shared" ca="1" si="10"/>
        <v>#N/A</v>
      </c>
      <c r="AF48" s="17" t="e">
        <f t="shared" ca="1" si="10"/>
        <v>#N/A</v>
      </c>
      <c r="AG48" s="17" t="e">
        <f t="shared" ca="1" si="10"/>
        <v>#N/A</v>
      </c>
      <c r="AH48" s="17" t="e">
        <f t="shared" ca="1" si="10"/>
        <v>#N/A</v>
      </c>
    </row>
    <row r="49" spans="3:34" x14ac:dyDescent="0.2">
      <c r="C49" s="17">
        <f t="shared" ca="1" si="6"/>
        <v>2</v>
      </c>
      <c r="D49" s="17" t="str">
        <f ca="1">UPPER(INDEX(Activities[活动],MATCH($C49,Activities[Id],0)))</f>
        <v>里程碑 1</v>
      </c>
      <c r="E49" s="17" t="e">
        <f t="shared" ref="E49:AH49" ca="1" si="11">IF(ISERROR(F37),E37,NA())</f>
        <v>#N/A</v>
      </c>
      <c r="F49" s="17" t="e">
        <f t="shared" ca="1" si="11"/>
        <v>#N/A</v>
      </c>
      <c r="G49" s="17" t="e">
        <f t="shared" ca="1" si="11"/>
        <v>#N/A</v>
      </c>
      <c r="H49" s="17" t="e">
        <f t="shared" ca="1" si="11"/>
        <v>#N/A</v>
      </c>
      <c r="I49" s="17" t="e">
        <f t="shared" ca="1" si="11"/>
        <v>#N/A</v>
      </c>
      <c r="J49" s="17" t="e">
        <f t="shared" ca="1" si="11"/>
        <v>#N/A</v>
      </c>
      <c r="K49" s="17" t="e">
        <f t="shared" ca="1" si="11"/>
        <v>#N/A</v>
      </c>
      <c r="L49" s="17" t="e">
        <f t="shared" ca="1" si="11"/>
        <v>#N/A</v>
      </c>
      <c r="M49" s="17" t="e">
        <f t="shared" ca="1" si="11"/>
        <v>#N/A</v>
      </c>
      <c r="N49" s="17" t="e">
        <f t="shared" ca="1" si="11"/>
        <v>#N/A</v>
      </c>
      <c r="O49" s="17" t="e">
        <f t="shared" ca="1" si="11"/>
        <v>#N/A</v>
      </c>
      <c r="P49" s="17" t="e">
        <f t="shared" ca="1" si="11"/>
        <v>#N/A</v>
      </c>
      <c r="Q49" s="17" t="e">
        <f t="shared" ca="1" si="11"/>
        <v>#N/A</v>
      </c>
      <c r="R49" s="17" t="e">
        <f t="shared" ca="1" si="11"/>
        <v>#N/A</v>
      </c>
      <c r="S49" s="17" t="e">
        <f t="shared" ca="1" si="11"/>
        <v>#N/A</v>
      </c>
      <c r="T49" s="17" t="e">
        <f t="shared" ca="1" si="11"/>
        <v>#N/A</v>
      </c>
      <c r="U49" s="17">
        <f t="shared" ca="1" si="11"/>
        <v>6.3000000000000007</v>
      </c>
      <c r="V49" s="17" t="e">
        <f t="shared" ca="1" si="11"/>
        <v>#N/A</v>
      </c>
      <c r="W49" s="17" t="e">
        <f t="shared" ca="1" si="11"/>
        <v>#N/A</v>
      </c>
      <c r="X49" s="17" t="e">
        <f t="shared" ca="1" si="11"/>
        <v>#N/A</v>
      </c>
      <c r="Y49" s="17" t="e">
        <f t="shared" ca="1" si="11"/>
        <v>#N/A</v>
      </c>
      <c r="Z49" s="17" t="e">
        <f t="shared" ca="1" si="11"/>
        <v>#N/A</v>
      </c>
      <c r="AA49" s="17" t="e">
        <f t="shared" ca="1" si="11"/>
        <v>#N/A</v>
      </c>
      <c r="AB49" s="17" t="e">
        <f t="shared" ca="1" si="11"/>
        <v>#N/A</v>
      </c>
      <c r="AC49" s="17" t="e">
        <f t="shared" ca="1" si="11"/>
        <v>#N/A</v>
      </c>
      <c r="AD49" s="17" t="e">
        <f t="shared" ca="1" si="11"/>
        <v>#N/A</v>
      </c>
      <c r="AE49" s="17" t="e">
        <f t="shared" ca="1" si="11"/>
        <v>#N/A</v>
      </c>
      <c r="AF49" s="17" t="e">
        <f t="shared" ca="1" si="11"/>
        <v>#N/A</v>
      </c>
      <c r="AG49" s="17" t="e">
        <f t="shared" ca="1" si="11"/>
        <v>#N/A</v>
      </c>
      <c r="AH49" s="17" t="e">
        <f t="shared" ca="1" si="11"/>
        <v>#N/A</v>
      </c>
    </row>
    <row r="50" spans="3:34" x14ac:dyDescent="0.2">
      <c r="C50" s="17">
        <f t="shared" ca="1" si="6"/>
        <v>3</v>
      </c>
      <c r="D50" s="17" t="str">
        <f ca="1">UPPER(INDEX(Activities[活动],MATCH($C50,Activities[Id],0)))</f>
        <v>里程碑 2</v>
      </c>
      <c r="E50" s="17" t="e">
        <f t="shared" ref="E50:AH50" ca="1" si="12">IF(ISERROR(F38),E38,NA())</f>
        <v>#N/A</v>
      </c>
      <c r="F50" s="17" t="e">
        <f t="shared" ca="1" si="12"/>
        <v>#N/A</v>
      </c>
      <c r="G50" s="17" t="e">
        <f t="shared" ca="1" si="12"/>
        <v>#N/A</v>
      </c>
      <c r="H50" s="17" t="e">
        <f t="shared" ca="1" si="12"/>
        <v>#N/A</v>
      </c>
      <c r="I50" s="17" t="e">
        <f t="shared" ca="1" si="12"/>
        <v>#N/A</v>
      </c>
      <c r="J50" s="17" t="e">
        <f t="shared" ca="1" si="12"/>
        <v>#N/A</v>
      </c>
      <c r="K50" s="17" t="e">
        <f t="shared" ca="1" si="12"/>
        <v>#N/A</v>
      </c>
      <c r="L50" s="17" t="e">
        <f t="shared" ca="1" si="12"/>
        <v>#N/A</v>
      </c>
      <c r="M50" s="17" t="e">
        <f t="shared" ca="1" si="12"/>
        <v>#N/A</v>
      </c>
      <c r="N50" s="17" t="e">
        <f t="shared" ca="1" si="12"/>
        <v>#N/A</v>
      </c>
      <c r="O50" s="17" t="e">
        <f t="shared" ca="1" si="12"/>
        <v>#N/A</v>
      </c>
      <c r="P50" s="17" t="e">
        <f t="shared" ca="1" si="12"/>
        <v>#N/A</v>
      </c>
      <c r="Q50" s="17" t="e">
        <f t="shared" ca="1" si="12"/>
        <v>#N/A</v>
      </c>
      <c r="R50" s="17" t="e">
        <f t="shared" ca="1" si="12"/>
        <v>#N/A</v>
      </c>
      <c r="S50" s="17" t="e">
        <f t="shared" ca="1" si="12"/>
        <v>#N/A</v>
      </c>
      <c r="T50" s="17" t="e">
        <f t="shared" ca="1" si="12"/>
        <v>#N/A</v>
      </c>
      <c r="U50" s="17" t="e">
        <f t="shared" ca="1" si="12"/>
        <v>#N/A</v>
      </c>
      <c r="V50" s="17">
        <f t="shared" ca="1" si="12"/>
        <v>5.3000000000000007</v>
      </c>
      <c r="W50" s="17" t="e">
        <f t="shared" ca="1" si="12"/>
        <v>#N/A</v>
      </c>
      <c r="X50" s="17" t="e">
        <f t="shared" ca="1" si="12"/>
        <v>#N/A</v>
      </c>
      <c r="Y50" s="17" t="e">
        <f t="shared" ca="1" si="12"/>
        <v>#N/A</v>
      </c>
      <c r="Z50" s="17" t="e">
        <f t="shared" ca="1" si="12"/>
        <v>#N/A</v>
      </c>
      <c r="AA50" s="17" t="e">
        <f t="shared" ca="1" si="12"/>
        <v>#N/A</v>
      </c>
      <c r="AB50" s="17" t="e">
        <f t="shared" ca="1" si="12"/>
        <v>#N/A</v>
      </c>
      <c r="AC50" s="17" t="e">
        <f t="shared" ca="1" si="12"/>
        <v>#N/A</v>
      </c>
      <c r="AD50" s="17" t="e">
        <f t="shared" ca="1" si="12"/>
        <v>#N/A</v>
      </c>
      <c r="AE50" s="17" t="e">
        <f t="shared" ca="1" si="12"/>
        <v>#N/A</v>
      </c>
      <c r="AF50" s="17" t="e">
        <f t="shared" ca="1" si="12"/>
        <v>#N/A</v>
      </c>
      <c r="AG50" s="17" t="e">
        <f t="shared" ca="1" si="12"/>
        <v>#N/A</v>
      </c>
      <c r="AH50" s="17" t="e">
        <f t="shared" ca="1" si="12"/>
        <v>#N/A</v>
      </c>
    </row>
    <row r="51" spans="3:34" x14ac:dyDescent="0.2">
      <c r="C51" s="17">
        <f t="shared" ca="1" si="6"/>
        <v>4</v>
      </c>
      <c r="D51" s="17" t="str">
        <f ca="1">UPPER(INDEX(Activities[活动],MATCH($C51,Activities[Id],0)))</f>
        <v>里程碑 3</v>
      </c>
      <c r="E51" s="17" t="e">
        <f t="shared" ref="E51:AH51" ca="1" si="13">IF(ISERROR(F39),E39,NA())</f>
        <v>#N/A</v>
      </c>
      <c r="F51" s="17" t="e">
        <f t="shared" ca="1" si="13"/>
        <v>#N/A</v>
      </c>
      <c r="G51" s="17" t="e">
        <f t="shared" ca="1" si="13"/>
        <v>#N/A</v>
      </c>
      <c r="H51" s="17" t="e">
        <f t="shared" ca="1" si="13"/>
        <v>#N/A</v>
      </c>
      <c r="I51" s="17" t="e">
        <f t="shared" ca="1" si="13"/>
        <v>#N/A</v>
      </c>
      <c r="J51" s="17" t="e">
        <f t="shared" ca="1" si="13"/>
        <v>#N/A</v>
      </c>
      <c r="K51" s="17" t="e">
        <f t="shared" ca="1" si="13"/>
        <v>#N/A</v>
      </c>
      <c r="L51" s="17" t="e">
        <f t="shared" ca="1" si="13"/>
        <v>#N/A</v>
      </c>
      <c r="M51" s="17" t="e">
        <f t="shared" ca="1" si="13"/>
        <v>#N/A</v>
      </c>
      <c r="N51" s="17" t="e">
        <f t="shared" ca="1" si="13"/>
        <v>#N/A</v>
      </c>
      <c r="O51" s="17" t="e">
        <f t="shared" ca="1" si="13"/>
        <v>#N/A</v>
      </c>
      <c r="P51" s="17" t="e">
        <f t="shared" ca="1" si="13"/>
        <v>#N/A</v>
      </c>
      <c r="Q51" s="17" t="e">
        <f t="shared" ca="1" si="13"/>
        <v>#N/A</v>
      </c>
      <c r="R51" s="17" t="e">
        <f t="shared" ca="1" si="13"/>
        <v>#N/A</v>
      </c>
      <c r="S51" s="17" t="e">
        <f t="shared" ca="1" si="13"/>
        <v>#N/A</v>
      </c>
      <c r="T51" s="17" t="e">
        <f t="shared" ca="1" si="13"/>
        <v>#N/A</v>
      </c>
      <c r="U51" s="17" t="e">
        <f t="shared" ca="1" si="13"/>
        <v>#N/A</v>
      </c>
      <c r="V51" s="17" t="e">
        <f t="shared" ca="1" si="13"/>
        <v>#N/A</v>
      </c>
      <c r="W51" s="17" t="e">
        <f t="shared" ca="1" si="13"/>
        <v>#N/A</v>
      </c>
      <c r="X51" s="17">
        <f t="shared" ca="1" si="13"/>
        <v>4.3000000000000007</v>
      </c>
      <c r="Y51" s="17" t="e">
        <f t="shared" ca="1" si="13"/>
        <v>#N/A</v>
      </c>
      <c r="Z51" s="17" t="e">
        <f t="shared" ca="1" si="13"/>
        <v>#N/A</v>
      </c>
      <c r="AA51" s="17" t="e">
        <f t="shared" ca="1" si="13"/>
        <v>#N/A</v>
      </c>
      <c r="AB51" s="17" t="e">
        <f t="shared" ca="1" si="13"/>
        <v>#N/A</v>
      </c>
      <c r="AC51" s="17" t="e">
        <f t="shared" ca="1" si="13"/>
        <v>#N/A</v>
      </c>
      <c r="AD51" s="17" t="e">
        <f t="shared" ca="1" si="13"/>
        <v>#N/A</v>
      </c>
      <c r="AE51" s="17" t="e">
        <f t="shared" ca="1" si="13"/>
        <v>#N/A</v>
      </c>
      <c r="AF51" s="17" t="e">
        <f t="shared" ca="1" si="13"/>
        <v>#N/A</v>
      </c>
      <c r="AG51" s="17" t="e">
        <f t="shared" ca="1" si="13"/>
        <v>#N/A</v>
      </c>
      <c r="AH51" s="17" t="e">
        <f t="shared" ca="1" si="13"/>
        <v>#N/A</v>
      </c>
    </row>
    <row r="52" spans="3:34" x14ac:dyDescent="0.2">
      <c r="C52" s="17">
        <f t="shared" ca="1" si="6"/>
        <v>5</v>
      </c>
      <c r="D52" s="17" t="str">
        <f ca="1">UPPER(INDEX(Activities[活动],MATCH($C52,Activities[Id],0)))</f>
        <v>里程碑 4</v>
      </c>
      <c r="E52" s="17" t="e">
        <f t="shared" ref="E52:AH52" ca="1" si="14">IF(ISERROR(F40),E40,NA())</f>
        <v>#N/A</v>
      </c>
      <c r="F52" s="17" t="e">
        <f t="shared" ca="1" si="14"/>
        <v>#N/A</v>
      </c>
      <c r="G52" s="17" t="e">
        <f t="shared" ca="1" si="14"/>
        <v>#N/A</v>
      </c>
      <c r="H52" s="17" t="e">
        <f t="shared" ca="1" si="14"/>
        <v>#N/A</v>
      </c>
      <c r="I52" s="17" t="e">
        <f t="shared" ca="1" si="14"/>
        <v>#N/A</v>
      </c>
      <c r="J52" s="17" t="e">
        <f t="shared" ca="1" si="14"/>
        <v>#N/A</v>
      </c>
      <c r="K52" s="17" t="e">
        <f t="shared" ca="1" si="14"/>
        <v>#N/A</v>
      </c>
      <c r="L52" s="17" t="e">
        <f t="shared" ca="1" si="14"/>
        <v>#N/A</v>
      </c>
      <c r="M52" s="17" t="e">
        <f t="shared" ca="1" si="14"/>
        <v>#N/A</v>
      </c>
      <c r="N52" s="17" t="e">
        <f t="shared" ca="1" si="14"/>
        <v>#N/A</v>
      </c>
      <c r="O52" s="17" t="e">
        <f t="shared" ca="1" si="14"/>
        <v>#N/A</v>
      </c>
      <c r="P52" s="17" t="e">
        <f t="shared" ca="1" si="14"/>
        <v>#N/A</v>
      </c>
      <c r="Q52" s="17" t="e">
        <f t="shared" ca="1" si="14"/>
        <v>#N/A</v>
      </c>
      <c r="R52" s="17" t="e">
        <f t="shared" ca="1" si="14"/>
        <v>#N/A</v>
      </c>
      <c r="S52" s="17" t="e">
        <f t="shared" ca="1" si="14"/>
        <v>#N/A</v>
      </c>
      <c r="T52" s="17" t="e">
        <f t="shared" ca="1" si="14"/>
        <v>#N/A</v>
      </c>
      <c r="U52" s="17" t="e">
        <f t="shared" ca="1" si="14"/>
        <v>#N/A</v>
      </c>
      <c r="V52" s="17" t="e">
        <f t="shared" ca="1" si="14"/>
        <v>#N/A</v>
      </c>
      <c r="W52" s="17" t="e">
        <f t="shared" ca="1" si="14"/>
        <v>#N/A</v>
      </c>
      <c r="X52" s="17" t="e">
        <f t="shared" ca="1" si="14"/>
        <v>#N/A</v>
      </c>
      <c r="Y52" s="17" t="e">
        <f t="shared" ca="1" si="14"/>
        <v>#N/A</v>
      </c>
      <c r="Z52" s="17" t="e">
        <f t="shared" ca="1" si="14"/>
        <v>#N/A</v>
      </c>
      <c r="AA52" s="17" t="e">
        <f t="shared" ca="1" si="14"/>
        <v>#N/A</v>
      </c>
      <c r="AB52" s="17" t="e">
        <f t="shared" ca="1" si="14"/>
        <v>#N/A</v>
      </c>
      <c r="AC52" s="17" t="e">
        <f t="shared" ca="1" si="14"/>
        <v>#N/A</v>
      </c>
      <c r="AD52" s="17" t="e">
        <f t="shared" ca="1" si="14"/>
        <v>#N/A</v>
      </c>
      <c r="AE52" s="17" t="e">
        <f t="shared" ca="1" si="14"/>
        <v>#N/A</v>
      </c>
      <c r="AF52" s="17" t="e">
        <f t="shared" ca="1" si="14"/>
        <v>#N/A</v>
      </c>
      <c r="AG52" s="17" t="e">
        <f t="shared" ca="1" si="14"/>
        <v>#N/A</v>
      </c>
      <c r="AH52" s="17" t="e">
        <f t="shared" ca="1" si="14"/>
        <v>#N/A</v>
      </c>
    </row>
    <row r="55" spans="3:34" x14ac:dyDescent="0.2">
      <c r="E55" s="18">
        <f ca="1">E31</f>
        <v>41175</v>
      </c>
      <c r="F55" s="18">
        <f t="shared" ref="F55:AH55" ca="1" si="15">F31</f>
        <v>41176</v>
      </c>
      <c r="G55" s="18">
        <f t="shared" ca="1" si="15"/>
        <v>41177</v>
      </c>
      <c r="H55" s="18">
        <f t="shared" ca="1" si="15"/>
        <v>41178</v>
      </c>
      <c r="I55" s="18">
        <f t="shared" ca="1" si="15"/>
        <v>41179</v>
      </c>
      <c r="J55" s="18">
        <f t="shared" ca="1" si="15"/>
        <v>41180</v>
      </c>
      <c r="K55" s="18">
        <f t="shared" ca="1" si="15"/>
        <v>41181</v>
      </c>
      <c r="L55" s="18">
        <f t="shared" ca="1" si="15"/>
        <v>41182</v>
      </c>
      <c r="M55" s="18">
        <f t="shared" ca="1" si="15"/>
        <v>41183</v>
      </c>
      <c r="N55" s="18">
        <f t="shared" ca="1" si="15"/>
        <v>41184</v>
      </c>
      <c r="O55" s="18">
        <f t="shared" ca="1" si="15"/>
        <v>41185</v>
      </c>
      <c r="P55" s="18">
        <f t="shared" ca="1" si="15"/>
        <v>41186</v>
      </c>
      <c r="Q55" s="18">
        <f t="shared" ca="1" si="15"/>
        <v>41187</v>
      </c>
      <c r="R55" s="18">
        <f t="shared" ca="1" si="15"/>
        <v>41188</v>
      </c>
      <c r="S55" s="18">
        <f t="shared" ca="1" si="15"/>
        <v>41189</v>
      </c>
      <c r="T55" s="18">
        <f t="shared" ca="1" si="15"/>
        <v>41190</v>
      </c>
      <c r="U55" s="18">
        <f t="shared" ca="1" si="15"/>
        <v>41191</v>
      </c>
      <c r="V55" s="18">
        <f t="shared" ca="1" si="15"/>
        <v>41192</v>
      </c>
      <c r="W55" s="18">
        <f t="shared" ca="1" si="15"/>
        <v>41193</v>
      </c>
      <c r="X55" s="18">
        <f t="shared" ca="1" si="15"/>
        <v>41194</v>
      </c>
      <c r="Y55" s="18">
        <f t="shared" ca="1" si="15"/>
        <v>41195</v>
      </c>
      <c r="Z55" s="18">
        <f t="shared" ca="1" si="15"/>
        <v>41196</v>
      </c>
      <c r="AA55" s="18">
        <f t="shared" ca="1" si="15"/>
        <v>41197</v>
      </c>
      <c r="AB55" s="18">
        <f t="shared" ca="1" si="15"/>
        <v>41198</v>
      </c>
      <c r="AC55" s="18">
        <f t="shared" ca="1" si="15"/>
        <v>41199</v>
      </c>
      <c r="AD55" s="18">
        <f t="shared" ca="1" si="15"/>
        <v>41200</v>
      </c>
      <c r="AE55" s="18">
        <f t="shared" ca="1" si="15"/>
        <v>41201</v>
      </c>
      <c r="AF55" s="18">
        <f t="shared" ca="1" si="15"/>
        <v>41202</v>
      </c>
      <c r="AG55" s="18">
        <f t="shared" ca="1" si="15"/>
        <v>41203</v>
      </c>
      <c r="AH55" s="18">
        <f t="shared" ca="1" si="15"/>
        <v>41204</v>
      </c>
    </row>
    <row r="56" spans="3:34" x14ac:dyDescent="0.2">
      <c r="D56" s="17" t="s">
        <v>13</v>
      </c>
      <c r="E56" s="17" t="e">
        <f t="shared" ref="E56:AH56" ca="1" si="16">IF(E55=$D$3,5,NA())</f>
        <v>#N/A</v>
      </c>
      <c r="F56" s="17" t="e">
        <f t="shared" ca="1" si="16"/>
        <v>#N/A</v>
      </c>
      <c r="G56" s="17" t="e">
        <f t="shared" ca="1" si="16"/>
        <v>#N/A</v>
      </c>
      <c r="H56" s="17">
        <f t="shared" ca="1" si="16"/>
        <v>5</v>
      </c>
      <c r="I56" s="17" t="e">
        <f t="shared" ca="1" si="16"/>
        <v>#N/A</v>
      </c>
      <c r="J56" s="17" t="e">
        <f t="shared" ca="1" si="16"/>
        <v>#N/A</v>
      </c>
      <c r="K56" s="17" t="e">
        <f t="shared" ca="1" si="16"/>
        <v>#N/A</v>
      </c>
      <c r="L56" s="17" t="e">
        <f t="shared" ca="1" si="16"/>
        <v>#N/A</v>
      </c>
      <c r="M56" s="17" t="e">
        <f t="shared" ca="1" si="16"/>
        <v>#N/A</v>
      </c>
      <c r="N56" s="17" t="e">
        <f t="shared" ca="1" si="16"/>
        <v>#N/A</v>
      </c>
      <c r="O56" s="17" t="e">
        <f t="shared" ca="1" si="16"/>
        <v>#N/A</v>
      </c>
      <c r="P56" s="17" t="e">
        <f t="shared" ca="1" si="16"/>
        <v>#N/A</v>
      </c>
      <c r="Q56" s="17" t="e">
        <f t="shared" ca="1" si="16"/>
        <v>#N/A</v>
      </c>
      <c r="R56" s="17" t="e">
        <f t="shared" ca="1" si="16"/>
        <v>#N/A</v>
      </c>
      <c r="S56" s="17" t="e">
        <f t="shared" ca="1" si="16"/>
        <v>#N/A</v>
      </c>
      <c r="T56" s="17" t="e">
        <f t="shared" ca="1" si="16"/>
        <v>#N/A</v>
      </c>
      <c r="U56" s="17" t="e">
        <f t="shared" ca="1" si="16"/>
        <v>#N/A</v>
      </c>
      <c r="V56" s="17" t="e">
        <f t="shared" ca="1" si="16"/>
        <v>#N/A</v>
      </c>
      <c r="W56" s="17" t="e">
        <f t="shared" ca="1" si="16"/>
        <v>#N/A</v>
      </c>
      <c r="X56" s="17" t="e">
        <f t="shared" ca="1" si="16"/>
        <v>#N/A</v>
      </c>
      <c r="Y56" s="17" t="e">
        <f t="shared" ca="1" si="16"/>
        <v>#N/A</v>
      </c>
      <c r="Z56" s="17" t="e">
        <f t="shared" ca="1" si="16"/>
        <v>#N/A</v>
      </c>
      <c r="AA56" s="17" t="e">
        <f t="shared" ca="1" si="16"/>
        <v>#N/A</v>
      </c>
      <c r="AB56" s="17" t="e">
        <f t="shared" ca="1" si="16"/>
        <v>#N/A</v>
      </c>
      <c r="AC56" s="17" t="e">
        <f t="shared" ca="1" si="16"/>
        <v>#N/A</v>
      </c>
      <c r="AD56" s="17" t="e">
        <f t="shared" ca="1" si="16"/>
        <v>#N/A</v>
      </c>
      <c r="AE56" s="17" t="e">
        <f t="shared" ca="1" si="16"/>
        <v>#N/A</v>
      </c>
      <c r="AF56" s="17" t="e">
        <f t="shared" ca="1" si="16"/>
        <v>#N/A</v>
      </c>
      <c r="AG56" s="17" t="e">
        <f t="shared" ca="1" si="16"/>
        <v>#N/A</v>
      </c>
      <c r="AH56" s="17" t="e">
        <f t="shared" ca="1" si="16"/>
        <v>#N/A</v>
      </c>
    </row>
    <row r="58" spans="3:34" x14ac:dyDescent="0.2">
      <c r="D58" s="21">
        <f ca="1">DATE(YEAR(MIN(E55:AH55)),MONTH(MIN(E55:AH55)),1)</f>
        <v>41153</v>
      </c>
      <c r="E58" s="17">
        <f ca="1">IF(MEDIAN($D58,E$55,EOMONTH($D58,0))=E$55,0.5,NA())</f>
        <v>0.5</v>
      </c>
      <c r="F58" s="17">
        <f t="shared" ref="F58:AH58" ca="1" si="17">IF(MEDIAN($D58,F$55,EOMONTH($D58,0))=F$55,0.5,NA())</f>
        <v>0.5</v>
      </c>
      <c r="G58" s="17">
        <f t="shared" ca="1" si="17"/>
        <v>0.5</v>
      </c>
      <c r="H58" s="17">
        <f t="shared" ca="1" si="17"/>
        <v>0.5</v>
      </c>
      <c r="I58" s="17">
        <f t="shared" ca="1" si="17"/>
        <v>0.5</v>
      </c>
      <c r="J58" s="17">
        <f t="shared" ca="1" si="17"/>
        <v>0.5</v>
      </c>
      <c r="K58" s="17">
        <f t="shared" ca="1" si="17"/>
        <v>0.5</v>
      </c>
      <c r="L58" s="17">
        <f t="shared" ca="1" si="17"/>
        <v>0.5</v>
      </c>
      <c r="M58" s="17" t="e">
        <f t="shared" ca="1" si="17"/>
        <v>#N/A</v>
      </c>
      <c r="N58" s="17" t="e">
        <f t="shared" ca="1" si="17"/>
        <v>#N/A</v>
      </c>
      <c r="O58" s="17" t="e">
        <f t="shared" ca="1" si="17"/>
        <v>#N/A</v>
      </c>
      <c r="P58" s="17" t="e">
        <f t="shared" ca="1" si="17"/>
        <v>#N/A</v>
      </c>
      <c r="Q58" s="17" t="e">
        <f t="shared" ca="1" si="17"/>
        <v>#N/A</v>
      </c>
      <c r="R58" s="17" t="e">
        <f t="shared" ca="1" si="17"/>
        <v>#N/A</v>
      </c>
      <c r="S58" s="17" t="e">
        <f t="shared" ca="1" si="17"/>
        <v>#N/A</v>
      </c>
      <c r="T58" s="17" t="e">
        <f t="shared" ca="1" si="17"/>
        <v>#N/A</v>
      </c>
      <c r="U58" s="17" t="e">
        <f t="shared" ca="1" si="17"/>
        <v>#N/A</v>
      </c>
      <c r="V58" s="17" t="e">
        <f t="shared" ca="1" si="17"/>
        <v>#N/A</v>
      </c>
      <c r="W58" s="17" t="e">
        <f t="shared" ca="1" si="17"/>
        <v>#N/A</v>
      </c>
      <c r="X58" s="17" t="e">
        <f t="shared" ca="1" si="17"/>
        <v>#N/A</v>
      </c>
      <c r="Y58" s="17" t="e">
        <f t="shared" ca="1" si="17"/>
        <v>#N/A</v>
      </c>
      <c r="Z58" s="17" t="e">
        <f t="shared" ca="1" si="17"/>
        <v>#N/A</v>
      </c>
      <c r="AA58" s="17" t="e">
        <f t="shared" ca="1" si="17"/>
        <v>#N/A</v>
      </c>
      <c r="AB58" s="17" t="e">
        <f t="shared" ca="1" si="17"/>
        <v>#N/A</v>
      </c>
      <c r="AC58" s="17" t="e">
        <f t="shared" ca="1" si="17"/>
        <v>#N/A</v>
      </c>
      <c r="AD58" s="17" t="e">
        <f t="shared" ca="1" si="17"/>
        <v>#N/A</v>
      </c>
      <c r="AE58" s="17" t="e">
        <f t="shared" ca="1" si="17"/>
        <v>#N/A</v>
      </c>
      <c r="AF58" s="17" t="e">
        <f t="shared" ca="1" si="17"/>
        <v>#N/A</v>
      </c>
      <c r="AG58" s="17" t="e">
        <f t="shared" ca="1" si="17"/>
        <v>#N/A</v>
      </c>
      <c r="AH58" s="17" t="e">
        <f t="shared" ca="1" si="17"/>
        <v>#N/A</v>
      </c>
    </row>
    <row r="59" spans="3:34" x14ac:dyDescent="0.2">
      <c r="D59" s="20" t="str">
        <f ca="1">TEXT(D58,"[$-804]yyyy年m月") &amp; " - Top Band"</f>
        <v>2012年9月 - Top Band</v>
      </c>
      <c r="E59" s="17">
        <f ca="1">E58+12.5</f>
        <v>13</v>
      </c>
      <c r="F59" s="17">
        <f t="shared" ref="F59:AH59" ca="1" si="18">F58+12.5</f>
        <v>13</v>
      </c>
      <c r="G59" s="17">
        <f t="shared" ca="1" si="18"/>
        <v>13</v>
      </c>
      <c r="H59" s="17">
        <f t="shared" ca="1" si="18"/>
        <v>13</v>
      </c>
      <c r="I59" s="17">
        <f t="shared" ca="1" si="18"/>
        <v>13</v>
      </c>
      <c r="J59" s="17">
        <f t="shared" ca="1" si="18"/>
        <v>13</v>
      </c>
      <c r="K59" s="17">
        <f t="shared" ca="1" si="18"/>
        <v>13</v>
      </c>
      <c r="L59" s="17">
        <f t="shared" ca="1" si="18"/>
        <v>13</v>
      </c>
      <c r="M59" s="17" t="e">
        <f t="shared" ca="1" si="18"/>
        <v>#N/A</v>
      </c>
      <c r="N59" s="17" t="e">
        <f t="shared" ca="1" si="18"/>
        <v>#N/A</v>
      </c>
      <c r="O59" s="17" t="e">
        <f t="shared" ca="1" si="18"/>
        <v>#N/A</v>
      </c>
      <c r="P59" s="17" t="e">
        <f t="shared" ca="1" si="18"/>
        <v>#N/A</v>
      </c>
      <c r="Q59" s="17" t="e">
        <f t="shared" ca="1" si="18"/>
        <v>#N/A</v>
      </c>
      <c r="R59" s="17" t="e">
        <f t="shared" ca="1" si="18"/>
        <v>#N/A</v>
      </c>
      <c r="S59" s="17" t="e">
        <f t="shared" ca="1" si="18"/>
        <v>#N/A</v>
      </c>
      <c r="T59" s="17" t="e">
        <f t="shared" ca="1" si="18"/>
        <v>#N/A</v>
      </c>
      <c r="U59" s="17" t="e">
        <f t="shared" ca="1" si="18"/>
        <v>#N/A</v>
      </c>
      <c r="V59" s="17" t="e">
        <f t="shared" ca="1" si="18"/>
        <v>#N/A</v>
      </c>
      <c r="W59" s="17" t="e">
        <f t="shared" ca="1" si="18"/>
        <v>#N/A</v>
      </c>
      <c r="X59" s="17" t="e">
        <f t="shared" ca="1" si="18"/>
        <v>#N/A</v>
      </c>
      <c r="Y59" s="17" t="e">
        <f t="shared" ca="1" si="18"/>
        <v>#N/A</v>
      </c>
      <c r="Z59" s="17" t="e">
        <f t="shared" ca="1" si="18"/>
        <v>#N/A</v>
      </c>
      <c r="AA59" s="17" t="e">
        <f t="shared" ca="1" si="18"/>
        <v>#N/A</v>
      </c>
      <c r="AB59" s="17" t="e">
        <f t="shared" ca="1" si="18"/>
        <v>#N/A</v>
      </c>
      <c r="AC59" s="17" t="e">
        <f t="shared" ca="1" si="18"/>
        <v>#N/A</v>
      </c>
      <c r="AD59" s="17" t="e">
        <f t="shared" ca="1" si="18"/>
        <v>#N/A</v>
      </c>
      <c r="AE59" s="17" t="e">
        <f t="shared" ca="1" si="18"/>
        <v>#N/A</v>
      </c>
      <c r="AF59" s="17" t="e">
        <f t="shared" ca="1" si="18"/>
        <v>#N/A</v>
      </c>
      <c r="AG59" s="17" t="e">
        <f t="shared" ca="1" si="18"/>
        <v>#N/A</v>
      </c>
      <c r="AH59" s="17" t="e">
        <f t="shared" ca="1" si="18"/>
        <v>#N/A</v>
      </c>
    </row>
    <row r="60" spans="3:34" x14ac:dyDescent="0.2">
      <c r="D60" s="20"/>
    </row>
    <row r="61" spans="3:34" x14ac:dyDescent="0.2">
      <c r="D61" s="21">
        <f ca="1">EOMONTH(D58,0)+1</f>
        <v>41183</v>
      </c>
      <c r="E61" s="17" t="e">
        <f ca="1">IF(MEDIAN($D61,E$55,EOMONTH($D61,0))=E$55,0.5,NA())</f>
        <v>#N/A</v>
      </c>
      <c r="F61" s="17" t="e">
        <f t="shared" ref="F61:AH61" ca="1" si="19">IF(MEDIAN($D61,F$55,EOMONTH($D61,0))=F$55,0.5,NA())</f>
        <v>#N/A</v>
      </c>
      <c r="G61" s="17" t="e">
        <f t="shared" ca="1" si="19"/>
        <v>#N/A</v>
      </c>
      <c r="H61" s="17" t="e">
        <f t="shared" ca="1" si="19"/>
        <v>#N/A</v>
      </c>
      <c r="I61" s="17" t="e">
        <f t="shared" ca="1" si="19"/>
        <v>#N/A</v>
      </c>
      <c r="J61" s="17" t="e">
        <f t="shared" ca="1" si="19"/>
        <v>#N/A</v>
      </c>
      <c r="K61" s="17" t="e">
        <f t="shared" ca="1" si="19"/>
        <v>#N/A</v>
      </c>
      <c r="L61" s="17" t="e">
        <f t="shared" ca="1" si="19"/>
        <v>#N/A</v>
      </c>
      <c r="M61" s="17">
        <f t="shared" ca="1" si="19"/>
        <v>0.5</v>
      </c>
      <c r="N61" s="17">
        <f t="shared" ca="1" si="19"/>
        <v>0.5</v>
      </c>
      <c r="O61" s="17">
        <f t="shared" ca="1" si="19"/>
        <v>0.5</v>
      </c>
      <c r="P61" s="17">
        <f t="shared" ca="1" si="19"/>
        <v>0.5</v>
      </c>
      <c r="Q61" s="17">
        <f t="shared" ca="1" si="19"/>
        <v>0.5</v>
      </c>
      <c r="R61" s="17">
        <f t="shared" ca="1" si="19"/>
        <v>0.5</v>
      </c>
      <c r="S61" s="17">
        <f t="shared" ca="1" si="19"/>
        <v>0.5</v>
      </c>
      <c r="T61" s="17">
        <f t="shared" ca="1" si="19"/>
        <v>0.5</v>
      </c>
      <c r="U61" s="17">
        <f t="shared" ca="1" si="19"/>
        <v>0.5</v>
      </c>
      <c r="V61" s="17">
        <f t="shared" ca="1" si="19"/>
        <v>0.5</v>
      </c>
      <c r="W61" s="17">
        <f t="shared" ca="1" si="19"/>
        <v>0.5</v>
      </c>
      <c r="X61" s="17">
        <f t="shared" ca="1" si="19"/>
        <v>0.5</v>
      </c>
      <c r="Y61" s="17">
        <f t="shared" ca="1" si="19"/>
        <v>0.5</v>
      </c>
      <c r="Z61" s="17">
        <f t="shared" ca="1" si="19"/>
        <v>0.5</v>
      </c>
      <c r="AA61" s="17">
        <f t="shared" ca="1" si="19"/>
        <v>0.5</v>
      </c>
      <c r="AB61" s="17">
        <f t="shared" ca="1" si="19"/>
        <v>0.5</v>
      </c>
      <c r="AC61" s="17">
        <f t="shared" ca="1" si="19"/>
        <v>0.5</v>
      </c>
      <c r="AD61" s="17">
        <f t="shared" ca="1" si="19"/>
        <v>0.5</v>
      </c>
      <c r="AE61" s="17">
        <f t="shared" ca="1" si="19"/>
        <v>0.5</v>
      </c>
      <c r="AF61" s="17">
        <f t="shared" ca="1" si="19"/>
        <v>0.5</v>
      </c>
      <c r="AG61" s="17">
        <f t="shared" ca="1" si="19"/>
        <v>0.5</v>
      </c>
      <c r="AH61" s="17">
        <f t="shared" ca="1" si="19"/>
        <v>0.5</v>
      </c>
    </row>
    <row r="62" spans="3:34" x14ac:dyDescent="0.2">
      <c r="D62" s="20" t="str">
        <f ca="1">TEXT(D61,"[$-804]yyyy年m月") &amp; " - Top Band"</f>
        <v>2012年10月 - Top Band</v>
      </c>
      <c r="E62" s="17" t="e">
        <f ca="1">E61+12.5</f>
        <v>#N/A</v>
      </c>
      <c r="F62" s="17" t="e">
        <f t="shared" ref="F62:AH62" ca="1" si="20">F61+12.5</f>
        <v>#N/A</v>
      </c>
      <c r="G62" s="17" t="e">
        <f t="shared" ca="1" si="20"/>
        <v>#N/A</v>
      </c>
      <c r="H62" s="17" t="e">
        <f t="shared" ca="1" si="20"/>
        <v>#N/A</v>
      </c>
      <c r="I62" s="17" t="e">
        <f t="shared" ca="1" si="20"/>
        <v>#N/A</v>
      </c>
      <c r="J62" s="17" t="e">
        <f t="shared" ca="1" si="20"/>
        <v>#N/A</v>
      </c>
      <c r="K62" s="17" t="e">
        <f t="shared" ca="1" si="20"/>
        <v>#N/A</v>
      </c>
      <c r="L62" s="17" t="e">
        <f t="shared" ca="1" si="20"/>
        <v>#N/A</v>
      </c>
      <c r="M62" s="17">
        <f t="shared" ca="1" si="20"/>
        <v>13</v>
      </c>
      <c r="N62" s="17">
        <f t="shared" ca="1" si="20"/>
        <v>13</v>
      </c>
      <c r="O62" s="17">
        <f t="shared" ca="1" si="20"/>
        <v>13</v>
      </c>
      <c r="P62" s="17">
        <f t="shared" ca="1" si="20"/>
        <v>13</v>
      </c>
      <c r="Q62" s="17">
        <f t="shared" ca="1" si="20"/>
        <v>13</v>
      </c>
      <c r="R62" s="17">
        <f t="shared" ca="1" si="20"/>
        <v>13</v>
      </c>
      <c r="S62" s="17">
        <f t="shared" ca="1" si="20"/>
        <v>13</v>
      </c>
      <c r="T62" s="17">
        <f t="shared" ca="1" si="20"/>
        <v>13</v>
      </c>
      <c r="U62" s="17">
        <f t="shared" ca="1" si="20"/>
        <v>13</v>
      </c>
      <c r="V62" s="17">
        <f t="shared" ca="1" si="20"/>
        <v>13</v>
      </c>
      <c r="W62" s="17">
        <f t="shared" ca="1" si="20"/>
        <v>13</v>
      </c>
      <c r="X62" s="17">
        <f t="shared" ca="1" si="20"/>
        <v>13</v>
      </c>
      <c r="Y62" s="17">
        <f t="shared" ca="1" si="20"/>
        <v>13</v>
      </c>
      <c r="Z62" s="17">
        <f t="shared" ca="1" si="20"/>
        <v>13</v>
      </c>
      <c r="AA62" s="17">
        <f t="shared" ca="1" si="20"/>
        <v>13</v>
      </c>
      <c r="AB62" s="17">
        <f t="shared" ca="1" si="20"/>
        <v>13</v>
      </c>
      <c r="AC62" s="17">
        <f t="shared" ca="1" si="20"/>
        <v>13</v>
      </c>
      <c r="AD62" s="17">
        <f t="shared" ca="1" si="20"/>
        <v>13</v>
      </c>
      <c r="AE62" s="17">
        <f t="shared" ca="1" si="20"/>
        <v>13</v>
      </c>
      <c r="AF62" s="17">
        <f t="shared" ca="1" si="20"/>
        <v>13</v>
      </c>
      <c r="AG62" s="17">
        <f t="shared" ca="1" si="20"/>
        <v>13</v>
      </c>
      <c r="AH62" s="17">
        <f t="shared" ca="1" si="20"/>
        <v>13</v>
      </c>
    </row>
    <row r="63" spans="3:34" x14ac:dyDescent="0.2">
      <c r="D63" s="20"/>
    </row>
    <row r="65" spans="4:34" x14ac:dyDescent="0.2">
      <c r="D65" s="21">
        <f ca="1">D58+1</f>
        <v>41154</v>
      </c>
      <c r="E65" s="17" t="e">
        <f ca="1">IF(MEDIAN($D65,E$55)=E$55,0.5,NA())</f>
        <v>#N/A</v>
      </c>
      <c r="F65" s="17" t="e">
        <f t="shared" ref="F65:AH66" ca="1" si="21">IF(MEDIAN($D65,F$55)=F$55,0.5,NA())</f>
        <v>#N/A</v>
      </c>
      <c r="G65" s="17" t="e">
        <f t="shared" ca="1" si="21"/>
        <v>#N/A</v>
      </c>
      <c r="H65" s="17" t="e">
        <f t="shared" ca="1" si="21"/>
        <v>#N/A</v>
      </c>
      <c r="I65" s="17" t="e">
        <f t="shared" ca="1" si="21"/>
        <v>#N/A</v>
      </c>
      <c r="J65" s="17" t="e">
        <f t="shared" ca="1" si="21"/>
        <v>#N/A</v>
      </c>
      <c r="K65" s="17" t="e">
        <f t="shared" ca="1" si="21"/>
        <v>#N/A</v>
      </c>
      <c r="L65" s="17" t="e">
        <f t="shared" ca="1" si="21"/>
        <v>#N/A</v>
      </c>
      <c r="M65" s="17" t="e">
        <f t="shared" ca="1" si="21"/>
        <v>#N/A</v>
      </c>
      <c r="N65" s="17" t="e">
        <f t="shared" ca="1" si="21"/>
        <v>#N/A</v>
      </c>
      <c r="O65" s="17" t="e">
        <f t="shared" ca="1" si="21"/>
        <v>#N/A</v>
      </c>
      <c r="P65" s="17" t="e">
        <f t="shared" ca="1" si="21"/>
        <v>#N/A</v>
      </c>
      <c r="Q65" s="17" t="e">
        <f t="shared" ca="1" si="21"/>
        <v>#N/A</v>
      </c>
      <c r="R65" s="17" t="e">
        <f t="shared" ca="1" si="21"/>
        <v>#N/A</v>
      </c>
      <c r="S65" s="17" t="e">
        <f t="shared" ca="1" si="21"/>
        <v>#N/A</v>
      </c>
      <c r="T65" s="17" t="e">
        <f t="shared" ca="1" si="21"/>
        <v>#N/A</v>
      </c>
      <c r="U65" s="17" t="e">
        <f t="shared" ca="1" si="21"/>
        <v>#N/A</v>
      </c>
      <c r="V65" s="17" t="e">
        <f t="shared" ca="1" si="21"/>
        <v>#N/A</v>
      </c>
      <c r="W65" s="17" t="e">
        <f t="shared" ca="1" si="21"/>
        <v>#N/A</v>
      </c>
      <c r="X65" s="17" t="e">
        <f t="shared" ca="1" si="21"/>
        <v>#N/A</v>
      </c>
      <c r="Y65" s="17" t="e">
        <f t="shared" ca="1" si="21"/>
        <v>#N/A</v>
      </c>
      <c r="Z65" s="17" t="e">
        <f t="shared" ca="1" si="21"/>
        <v>#N/A</v>
      </c>
      <c r="AA65" s="17" t="e">
        <f t="shared" ca="1" si="21"/>
        <v>#N/A</v>
      </c>
      <c r="AB65" s="17" t="e">
        <f t="shared" ca="1" si="21"/>
        <v>#N/A</v>
      </c>
      <c r="AC65" s="17" t="e">
        <f t="shared" ca="1" si="21"/>
        <v>#N/A</v>
      </c>
      <c r="AD65" s="17" t="e">
        <f t="shared" ca="1" si="21"/>
        <v>#N/A</v>
      </c>
      <c r="AE65" s="17" t="e">
        <f t="shared" ca="1" si="21"/>
        <v>#N/A</v>
      </c>
      <c r="AF65" s="17" t="e">
        <f t="shared" ca="1" si="21"/>
        <v>#N/A</v>
      </c>
      <c r="AG65" s="17" t="e">
        <f t="shared" ca="1" si="21"/>
        <v>#N/A</v>
      </c>
      <c r="AH65" s="17" t="e">
        <f t="shared" ca="1" si="21"/>
        <v>#N/A</v>
      </c>
    </row>
    <row r="66" spans="4:34" x14ac:dyDescent="0.2">
      <c r="D66" s="21">
        <f ca="1">D61+1</f>
        <v>41184</v>
      </c>
      <c r="E66" s="17" t="e">
        <f ca="1">IF(MEDIAN($D66,E$55)=E$55,0.5,NA())</f>
        <v>#N/A</v>
      </c>
      <c r="F66" s="17" t="e">
        <f t="shared" ca="1" si="21"/>
        <v>#N/A</v>
      </c>
      <c r="G66" s="17" t="e">
        <f t="shared" ca="1" si="21"/>
        <v>#N/A</v>
      </c>
      <c r="H66" s="17" t="e">
        <f t="shared" ca="1" si="21"/>
        <v>#N/A</v>
      </c>
      <c r="I66" s="17" t="e">
        <f t="shared" ca="1" si="21"/>
        <v>#N/A</v>
      </c>
      <c r="J66" s="17" t="e">
        <f t="shared" ca="1" si="21"/>
        <v>#N/A</v>
      </c>
      <c r="K66" s="17" t="e">
        <f t="shared" ca="1" si="21"/>
        <v>#N/A</v>
      </c>
      <c r="L66" s="17" t="e">
        <f t="shared" ca="1" si="21"/>
        <v>#N/A</v>
      </c>
      <c r="M66" s="17" t="e">
        <f t="shared" ca="1" si="21"/>
        <v>#N/A</v>
      </c>
      <c r="N66" s="17">
        <f t="shared" ca="1" si="21"/>
        <v>0.5</v>
      </c>
      <c r="O66" s="17" t="e">
        <f t="shared" ca="1" si="21"/>
        <v>#N/A</v>
      </c>
      <c r="P66" s="17" t="e">
        <f t="shared" ca="1" si="21"/>
        <v>#N/A</v>
      </c>
      <c r="Q66" s="17" t="e">
        <f t="shared" ca="1" si="21"/>
        <v>#N/A</v>
      </c>
      <c r="R66" s="17" t="e">
        <f t="shared" ca="1" si="21"/>
        <v>#N/A</v>
      </c>
      <c r="S66" s="17" t="e">
        <f t="shared" ca="1" si="21"/>
        <v>#N/A</v>
      </c>
      <c r="T66" s="17" t="e">
        <f t="shared" ca="1" si="21"/>
        <v>#N/A</v>
      </c>
      <c r="U66" s="17" t="e">
        <f t="shared" ca="1" si="21"/>
        <v>#N/A</v>
      </c>
      <c r="V66" s="17" t="e">
        <f t="shared" ca="1" si="21"/>
        <v>#N/A</v>
      </c>
      <c r="W66" s="17" t="e">
        <f t="shared" ca="1" si="21"/>
        <v>#N/A</v>
      </c>
      <c r="X66" s="17" t="e">
        <f t="shared" ca="1" si="21"/>
        <v>#N/A</v>
      </c>
      <c r="Y66" s="17" t="e">
        <f t="shared" ca="1" si="21"/>
        <v>#N/A</v>
      </c>
      <c r="Z66" s="17" t="e">
        <f t="shared" ca="1" si="21"/>
        <v>#N/A</v>
      </c>
      <c r="AA66" s="17" t="e">
        <f t="shared" ca="1" si="21"/>
        <v>#N/A</v>
      </c>
      <c r="AB66" s="17" t="e">
        <f t="shared" ca="1" si="21"/>
        <v>#N/A</v>
      </c>
      <c r="AC66" s="17" t="e">
        <f t="shared" ca="1" si="21"/>
        <v>#N/A</v>
      </c>
      <c r="AD66" s="17" t="e">
        <f t="shared" ca="1" si="21"/>
        <v>#N/A</v>
      </c>
      <c r="AE66" s="17" t="e">
        <f t="shared" ca="1" si="21"/>
        <v>#N/A</v>
      </c>
      <c r="AF66" s="17" t="e">
        <f t="shared" ca="1" si="21"/>
        <v>#N/A</v>
      </c>
      <c r="AG66" s="17" t="e">
        <f t="shared" ca="1" si="21"/>
        <v>#N/A</v>
      </c>
      <c r="AH66" s="17" t="e">
        <f t="shared" ca="1" si="21"/>
        <v>#N/A</v>
      </c>
    </row>
    <row r="69" spans="4:34" x14ac:dyDescent="0.2">
      <c r="E69" s="17">
        <v>2.5</v>
      </c>
      <c r="F69" s="17">
        <f>E69</f>
        <v>2.5</v>
      </c>
      <c r="G69" s="17">
        <f t="shared" ref="G69:AH71" si="22">F69</f>
        <v>2.5</v>
      </c>
      <c r="H69" s="17">
        <f t="shared" si="22"/>
        <v>2.5</v>
      </c>
      <c r="I69" s="17">
        <f t="shared" si="22"/>
        <v>2.5</v>
      </c>
      <c r="J69" s="17">
        <f t="shared" si="22"/>
        <v>2.5</v>
      </c>
      <c r="K69" s="17">
        <f t="shared" si="22"/>
        <v>2.5</v>
      </c>
      <c r="L69" s="17">
        <f t="shared" si="22"/>
        <v>2.5</v>
      </c>
      <c r="M69" s="17">
        <f t="shared" si="22"/>
        <v>2.5</v>
      </c>
      <c r="N69" s="17">
        <f t="shared" si="22"/>
        <v>2.5</v>
      </c>
      <c r="O69" s="17">
        <f t="shared" si="22"/>
        <v>2.5</v>
      </c>
      <c r="P69" s="17">
        <f t="shared" si="22"/>
        <v>2.5</v>
      </c>
      <c r="Q69" s="17">
        <f t="shared" si="22"/>
        <v>2.5</v>
      </c>
      <c r="R69" s="17">
        <f t="shared" si="22"/>
        <v>2.5</v>
      </c>
      <c r="S69" s="17">
        <f t="shared" si="22"/>
        <v>2.5</v>
      </c>
      <c r="T69" s="17">
        <f t="shared" si="22"/>
        <v>2.5</v>
      </c>
      <c r="U69" s="17">
        <f t="shared" si="22"/>
        <v>2.5</v>
      </c>
      <c r="V69" s="17">
        <f t="shared" si="22"/>
        <v>2.5</v>
      </c>
      <c r="W69" s="17">
        <f t="shared" si="22"/>
        <v>2.5</v>
      </c>
      <c r="X69" s="17">
        <f t="shared" si="22"/>
        <v>2.5</v>
      </c>
      <c r="Y69" s="17">
        <f t="shared" si="22"/>
        <v>2.5</v>
      </c>
      <c r="Z69" s="17">
        <f t="shared" si="22"/>
        <v>2.5</v>
      </c>
      <c r="AA69" s="17">
        <f t="shared" si="22"/>
        <v>2.5</v>
      </c>
      <c r="AB69" s="17">
        <f t="shared" si="22"/>
        <v>2.5</v>
      </c>
      <c r="AC69" s="17">
        <f t="shared" si="22"/>
        <v>2.5</v>
      </c>
      <c r="AD69" s="17">
        <f t="shared" si="22"/>
        <v>2.5</v>
      </c>
      <c r="AE69" s="17">
        <f t="shared" si="22"/>
        <v>2.5</v>
      </c>
      <c r="AF69" s="17">
        <f t="shared" si="22"/>
        <v>2.5</v>
      </c>
      <c r="AG69" s="17">
        <f t="shared" si="22"/>
        <v>2.5</v>
      </c>
      <c r="AH69" s="17">
        <f t="shared" si="22"/>
        <v>2.5</v>
      </c>
    </row>
    <row r="70" spans="4:34" x14ac:dyDescent="0.2">
      <c r="D70" s="17">
        <v>3</v>
      </c>
      <c r="E70" s="17" t="str">
        <f t="shared" ref="E70:AH70" ca="1" si="23">LEFT(UPPER(TEXT(E55,"[$-804]ddd")),$D70)</f>
        <v>周日</v>
      </c>
      <c r="F70" s="17" t="str">
        <f t="shared" ca="1" si="23"/>
        <v>周一</v>
      </c>
      <c r="G70" s="17" t="str">
        <f t="shared" ca="1" si="23"/>
        <v>周二</v>
      </c>
      <c r="H70" s="17" t="str">
        <f t="shared" ca="1" si="23"/>
        <v>周三</v>
      </c>
      <c r="I70" s="17" t="str">
        <f t="shared" ca="1" si="23"/>
        <v>周四</v>
      </c>
      <c r="J70" s="17" t="str">
        <f t="shared" ca="1" si="23"/>
        <v>周五</v>
      </c>
      <c r="K70" s="17" t="str">
        <f t="shared" ca="1" si="23"/>
        <v>周六</v>
      </c>
      <c r="L70" s="17" t="str">
        <f t="shared" ca="1" si="23"/>
        <v>周日</v>
      </c>
      <c r="M70" s="17" t="str">
        <f t="shared" ca="1" si="23"/>
        <v>周一</v>
      </c>
      <c r="N70" s="17" t="str">
        <f t="shared" ca="1" si="23"/>
        <v>周二</v>
      </c>
      <c r="O70" s="17" t="str">
        <f t="shared" ca="1" si="23"/>
        <v>周三</v>
      </c>
      <c r="P70" s="17" t="str">
        <f t="shared" ca="1" si="23"/>
        <v>周四</v>
      </c>
      <c r="Q70" s="17" t="str">
        <f t="shared" ca="1" si="23"/>
        <v>周五</v>
      </c>
      <c r="R70" s="17" t="str">
        <f t="shared" ca="1" si="23"/>
        <v>周六</v>
      </c>
      <c r="S70" s="17" t="str">
        <f t="shared" ca="1" si="23"/>
        <v>周日</v>
      </c>
      <c r="T70" s="17" t="str">
        <f t="shared" ca="1" si="23"/>
        <v>周一</v>
      </c>
      <c r="U70" s="17" t="str">
        <f t="shared" ca="1" si="23"/>
        <v>周二</v>
      </c>
      <c r="V70" s="17" t="str">
        <f t="shared" ca="1" si="23"/>
        <v>周三</v>
      </c>
      <c r="W70" s="17" t="str">
        <f t="shared" ca="1" si="23"/>
        <v>周四</v>
      </c>
      <c r="X70" s="17" t="str">
        <f t="shared" ca="1" si="23"/>
        <v>周五</v>
      </c>
      <c r="Y70" s="17" t="str">
        <f t="shared" ca="1" si="23"/>
        <v>周六</v>
      </c>
      <c r="Z70" s="17" t="str">
        <f t="shared" ca="1" si="23"/>
        <v>周日</v>
      </c>
      <c r="AA70" s="17" t="str">
        <f t="shared" ca="1" si="23"/>
        <v>周一</v>
      </c>
      <c r="AB70" s="17" t="str">
        <f t="shared" ca="1" si="23"/>
        <v>周二</v>
      </c>
      <c r="AC70" s="17" t="str">
        <f t="shared" ca="1" si="23"/>
        <v>周三</v>
      </c>
      <c r="AD70" s="17" t="str">
        <f t="shared" ca="1" si="23"/>
        <v>周四</v>
      </c>
      <c r="AE70" s="17" t="str">
        <f t="shared" ca="1" si="23"/>
        <v>周五</v>
      </c>
      <c r="AF70" s="17" t="str">
        <f t="shared" ca="1" si="23"/>
        <v>周六</v>
      </c>
      <c r="AG70" s="17" t="str">
        <f t="shared" ca="1" si="23"/>
        <v>周日</v>
      </c>
      <c r="AH70" s="17" t="str">
        <f t="shared" ca="1" si="23"/>
        <v>周一</v>
      </c>
    </row>
    <row r="71" spans="4:34" x14ac:dyDescent="0.2">
      <c r="E71" s="17">
        <v>1.3</v>
      </c>
      <c r="F71" s="17">
        <f>E71</f>
        <v>1.3</v>
      </c>
      <c r="G71" s="17">
        <f t="shared" si="22"/>
        <v>1.3</v>
      </c>
      <c r="H71" s="17">
        <f t="shared" si="22"/>
        <v>1.3</v>
      </c>
      <c r="I71" s="17">
        <f t="shared" si="22"/>
        <v>1.3</v>
      </c>
      <c r="J71" s="17">
        <f t="shared" si="22"/>
        <v>1.3</v>
      </c>
      <c r="K71" s="17">
        <f t="shared" si="22"/>
        <v>1.3</v>
      </c>
      <c r="L71" s="17">
        <f t="shared" si="22"/>
        <v>1.3</v>
      </c>
      <c r="M71" s="17">
        <f t="shared" si="22"/>
        <v>1.3</v>
      </c>
      <c r="N71" s="17">
        <f t="shared" si="22"/>
        <v>1.3</v>
      </c>
      <c r="O71" s="17">
        <f t="shared" si="22"/>
        <v>1.3</v>
      </c>
      <c r="P71" s="17">
        <f t="shared" si="22"/>
        <v>1.3</v>
      </c>
      <c r="Q71" s="17">
        <f t="shared" si="22"/>
        <v>1.3</v>
      </c>
      <c r="R71" s="17">
        <f t="shared" si="22"/>
        <v>1.3</v>
      </c>
      <c r="S71" s="17">
        <f t="shared" si="22"/>
        <v>1.3</v>
      </c>
      <c r="T71" s="17">
        <f t="shared" si="22"/>
        <v>1.3</v>
      </c>
      <c r="U71" s="17">
        <f t="shared" si="22"/>
        <v>1.3</v>
      </c>
      <c r="V71" s="17">
        <f t="shared" si="22"/>
        <v>1.3</v>
      </c>
      <c r="W71" s="17">
        <f t="shared" si="22"/>
        <v>1.3</v>
      </c>
      <c r="X71" s="17">
        <f t="shared" si="22"/>
        <v>1.3</v>
      </c>
      <c r="Y71" s="17">
        <f t="shared" si="22"/>
        <v>1.3</v>
      </c>
      <c r="Z71" s="17">
        <f t="shared" si="22"/>
        <v>1.3</v>
      </c>
      <c r="AA71" s="17">
        <f t="shared" si="22"/>
        <v>1.3</v>
      </c>
      <c r="AB71" s="17">
        <f t="shared" si="22"/>
        <v>1.3</v>
      </c>
      <c r="AC71" s="17">
        <f t="shared" si="22"/>
        <v>1.3</v>
      </c>
      <c r="AD71" s="17">
        <f t="shared" si="22"/>
        <v>1.3</v>
      </c>
      <c r="AE71" s="17">
        <f t="shared" si="22"/>
        <v>1.3</v>
      </c>
      <c r="AF71" s="17">
        <f t="shared" si="22"/>
        <v>1.3</v>
      </c>
      <c r="AG71" s="17">
        <f t="shared" si="22"/>
        <v>1.3</v>
      </c>
      <c r="AH71" s="17">
        <f t="shared" si="22"/>
        <v>1.3</v>
      </c>
    </row>
    <row r="72" spans="4:34" x14ac:dyDescent="0.2">
      <c r="E72" s="17" t="str">
        <f ca="1">TEXT(E55,"dd")</f>
        <v>23</v>
      </c>
      <c r="F72" s="17" t="str">
        <f t="shared" ref="F72:AH72" ca="1" si="24">TEXT(F55,"dd")</f>
        <v>24</v>
      </c>
      <c r="G72" s="17" t="str">
        <f t="shared" ca="1" si="24"/>
        <v>25</v>
      </c>
      <c r="H72" s="17" t="str">
        <f t="shared" ca="1" si="24"/>
        <v>26</v>
      </c>
      <c r="I72" s="17" t="str">
        <f t="shared" ca="1" si="24"/>
        <v>27</v>
      </c>
      <c r="J72" s="17" t="str">
        <f t="shared" ca="1" si="24"/>
        <v>28</v>
      </c>
      <c r="K72" s="17" t="str">
        <f t="shared" ca="1" si="24"/>
        <v>29</v>
      </c>
      <c r="L72" s="17" t="str">
        <f t="shared" ca="1" si="24"/>
        <v>30</v>
      </c>
      <c r="M72" s="17" t="str">
        <f t="shared" ca="1" si="24"/>
        <v>01</v>
      </c>
      <c r="N72" s="17" t="str">
        <f t="shared" ca="1" si="24"/>
        <v>02</v>
      </c>
      <c r="O72" s="17" t="str">
        <f t="shared" ca="1" si="24"/>
        <v>03</v>
      </c>
      <c r="P72" s="17" t="str">
        <f t="shared" ca="1" si="24"/>
        <v>04</v>
      </c>
      <c r="Q72" s="17" t="str">
        <f t="shared" ca="1" si="24"/>
        <v>05</v>
      </c>
      <c r="R72" s="17" t="str">
        <f t="shared" ca="1" si="24"/>
        <v>06</v>
      </c>
      <c r="S72" s="17" t="str">
        <f t="shared" ca="1" si="24"/>
        <v>07</v>
      </c>
      <c r="T72" s="17" t="str">
        <f t="shared" ca="1" si="24"/>
        <v>08</v>
      </c>
      <c r="U72" s="17" t="str">
        <f t="shared" ca="1" si="24"/>
        <v>09</v>
      </c>
      <c r="V72" s="17" t="str">
        <f t="shared" ca="1" si="24"/>
        <v>10</v>
      </c>
      <c r="W72" s="17" t="str">
        <f t="shared" ca="1" si="24"/>
        <v>11</v>
      </c>
      <c r="X72" s="17" t="str">
        <f t="shared" ca="1" si="24"/>
        <v>12</v>
      </c>
      <c r="Y72" s="17" t="str">
        <f t="shared" ca="1" si="24"/>
        <v>13</v>
      </c>
      <c r="Z72" s="17" t="str">
        <f t="shared" ca="1" si="24"/>
        <v>14</v>
      </c>
      <c r="AA72" s="17" t="str">
        <f t="shared" ca="1" si="24"/>
        <v>15</v>
      </c>
      <c r="AB72" s="17" t="str">
        <f t="shared" ca="1" si="24"/>
        <v>16</v>
      </c>
      <c r="AC72" s="17" t="str">
        <f t="shared" ca="1" si="24"/>
        <v>17</v>
      </c>
      <c r="AD72" s="17" t="str">
        <f t="shared" ca="1" si="24"/>
        <v>18</v>
      </c>
      <c r="AE72" s="17" t="str">
        <f t="shared" ca="1" si="24"/>
        <v>19</v>
      </c>
      <c r="AF72" s="17" t="str">
        <f t="shared" ca="1" si="24"/>
        <v>20</v>
      </c>
      <c r="AG72" s="17" t="str">
        <f t="shared" ca="1" si="24"/>
        <v>21</v>
      </c>
      <c r="AH72" s="17" t="str">
        <f t="shared" ca="1" si="24"/>
        <v>22</v>
      </c>
    </row>
  </sheetData>
  <phoneticPr fontId="7" type="noConversion"/>
  <pageMargins left="0.7" right="0.7" top="0.75" bottom="0.75" header="0.3" footer="0.3"/>
  <pageSetup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PDescription xmlns="905c3888-6285-45d0-bd76-60a9ac2d738c" xsi:nil="true"/>
    <AssetExpire xmlns="905c3888-6285-45d0-bd76-60a9ac2d738c">2029-01-01T08:00:00+00:00</AssetExpire>
    <CampaignTagsTaxHTField0 xmlns="905c3888-6285-45d0-bd76-60a9ac2d738c">
      <Terms xmlns="http://schemas.microsoft.com/office/infopath/2007/PartnerControls"/>
    </CampaignTagsTaxHTField0>
    <IntlLangReviewDate xmlns="905c3888-6285-45d0-bd76-60a9ac2d738c" xsi:nil="true"/>
    <TPFriendlyName xmlns="905c3888-6285-45d0-bd76-60a9ac2d738c" xsi:nil="true"/>
    <IntlLangReview xmlns="905c3888-6285-45d0-bd76-60a9ac2d738c">false</IntlLangReview>
    <LocLastLocAttemptVersionLookup xmlns="905c3888-6285-45d0-bd76-60a9ac2d738c">845883</LocLastLocAttemptVersionLookup>
    <PolicheckWords xmlns="905c3888-6285-45d0-bd76-60a9ac2d738c" xsi:nil="true"/>
    <SubmitterId xmlns="905c3888-6285-45d0-bd76-60a9ac2d738c" xsi:nil="true"/>
    <AcquiredFrom xmlns="905c3888-6285-45d0-bd76-60a9ac2d738c">Internal MS</AcquiredFrom>
    <EditorialStatus xmlns="905c3888-6285-45d0-bd76-60a9ac2d738c" xsi:nil="true"/>
    <Markets xmlns="905c3888-6285-45d0-bd76-60a9ac2d738c"/>
    <OriginAsset xmlns="905c3888-6285-45d0-bd76-60a9ac2d738c" xsi:nil="true"/>
    <AssetStart xmlns="905c3888-6285-45d0-bd76-60a9ac2d738c">2012-06-28T22:28:09+00:00</AssetStart>
    <FriendlyTitle xmlns="905c3888-6285-45d0-bd76-60a9ac2d738c" xsi:nil="true"/>
    <MarketSpecific xmlns="905c3888-6285-45d0-bd76-60a9ac2d738c">false</MarketSpecific>
    <TPNamespace xmlns="905c3888-6285-45d0-bd76-60a9ac2d738c" xsi:nil="true"/>
    <PublishStatusLookup xmlns="905c3888-6285-45d0-bd76-60a9ac2d738c">
      <Value>478003</Value>
    </PublishStatusLookup>
    <APAuthor xmlns="905c3888-6285-45d0-bd76-60a9ac2d738c">
      <UserInfo>
        <DisplayName/>
        <AccountId>2566</AccountId>
        <AccountType/>
      </UserInfo>
    </APAuthor>
    <TPCommandLine xmlns="905c3888-6285-45d0-bd76-60a9ac2d738c" xsi:nil="true"/>
    <IntlLangReviewer xmlns="905c3888-6285-45d0-bd76-60a9ac2d738c" xsi:nil="true"/>
    <OpenTemplate xmlns="905c3888-6285-45d0-bd76-60a9ac2d738c">true</OpenTemplate>
    <CSXSubmissionDate xmlns="905c3888-6285-45d0-bd76-60a9ac2d738c" xsi:nil="true"/>
    <TaxCatchAll xmlns="905c3888-6285-45d0-bd76-60a9ac2d738c"/>
    <Manager xmlns="905c3888-6285-45d0-bd76-60a9ac2d738c" xsi:nil="true"/>
    <NumericId xmlns="905c3888-6285-45d0-bd76-60a9ac2d738c" xsi:nil="true"/>
    <ParentAssetId xmlns="905c3888-6285-45d0-bd76-60a9ac2d738c" xsi:nil="true"/>
    <OriginalSourceMarket xmlns="905c3888-6285-45d0-bd76-60a9ac2d738c">english</OriginalSourceMarket>
    <ApprovalStatus xmlns="905c3888-6285-45d0-bd76-60a9ac2d738c">InProgress</ApprovalStatus>
    <TPComponent xmlns="905c3888-6285-45d0-bd76-60a9ac2d738c" xsi:nil="true"/>
    <EditorialTags xmlns="905c3888-6285-45d0-bd76-60a9ac2d738c" xsi:nil="true"/>
    <TPExecutable xmlns="905c3888-6285-45d0-bd76-60a9ac2d738c" xsi:nil="true"/>
    <TPLaunchHelpLink xmlns="905c3888-6285-45d0-bd76-60a9ac2d738c" xsi:nil="true"/>
    <LocComments xmlns="905c3888-6285-45d0-bd76-60a9ac2d738c" xsi:nil="true"/>
    <LocRecommendedHandoff xmlns="905c3888-6285-45d0-bd76-60a9ac2d738c" xsi:nil="true"/>
    <SourceTitle xmlns="905c3888-6285-45d0-bd76-60a9ac2d738c" xsi:nil="true"/>
    <CSXUpdate xmlns="905c3888-6285-45d0-bd76-60a9ac2d738c">false</CSXUpdate>
    <IntlLocPriority xmlns="905c3888-6285-45d0-bd76-60a9ac2d738c" xsi:nil="true"/>
    <UAProjectedTotalWords xmlns="905c3888-6285-45d0-bd76-60a9ac2d738c" xsi:nil="true"/>
    <AssetType xmlns="905c3888-6285-45d0-bd76-60a9ac2d738c" xsi:nil="true"/>
    <MachineTranslated xmlns="905c3888-6285-45d0-bd76-60a9ac2d738c">false</MachineTranslated>
    <OutputCachingOn xmlns="905c3888-6285-45d0-bd76-60a9ac2d738c">false</OutputCachingOn>
    <TemplateStatus xmlns="905c3888-6285-45d0-bd76-60a9ac2d738c">Complete</TemplateStatus>
    <IsSearchable xmlns="905c3888-6285-45d0-bd76-60a9ac2d738c">false</IsSearchable>
    <ContentItem xmlns="905c3888-6285-45d0-bd76-60a9ac2d738c" xsi:nil="true"/>
    <HandoffToMSDN xmlns="905c3888-6285-45d0-bd76-60a9ac2d738c" xsi:nil="true"/>
    <ShowIn xmlns="905c3888-6285-45d0-bd76-60a9ac2d738c">Show everywhere</ShowIn>
    <ThumbnailAssetId xmlns="905c3888-6285-45d0-bd76-60a9ac2d738c" xsi:nil="true"/>
    <UALocComments xmlns="905c3888-6285-45d0-bd76-60a9ac2d738c" xsi:nil="true"/>
    <UALocRecommendation xmlns="905c3888-6285-45d0-bd76-60a9ac2d738c">Localize</UALocRecommendation>
    <LastModifiedDateTime xmlns="905c3888-6285-45d0-bd76-60a9ac2d738c" xsi:nil="true"/>
    <LegacyData xmlns="905c3888-6285-45d0-bd76-60a9ac2d738c" xsi:nil="true"/>
    <LocManualTestRequired xmlns="905c3888-6285-45d0-bd76-60a9ac2d738c">false</LocManualTestRequired>
    <LocMarketGroupTiers2 xmlns="905c3888-6285-45d0-bd76-60a9ac2d738c" xsi:nil="true"/>
    <ClipArtFilename xmlns="905c3888-6285-45d0-bd76-60a9ac2d738c" xsi:nil="true"/>
    <TPApplication xmlns="905c3888-6285-45d0-bd76-60a9ac2d738c" xsi:nil="true"/>
    <CSXHash xmlns="905c3888-6285-45d0-bd76-60a9ac2d738c" xsi:nil="true"/>
    <DirectSourceMarket xmlns="905c3888-6285-45d0-bd76-60a9ac2d738c">english</DirectSourceMarket>
    <PrimaryImageGen xmlns="905c3888-6285-45d0-bd76-60a9ac2d738c">false</PrimaryImageGen>
    <PlannedPubDate xmlns="905c3888-6285-45d0-bd76-60a9ac2d738c" xsi:nil="true"/>
    <CSXSubmissionMarket xmlns="905c3888-6285-45d0-bd76-60a9ac2d738c" xsi:nil="true"/>
    <Downloads xmlns="905c3888-6285-45d0-bd76-60a9ac2d738c">0</Downloads>
    <ArtSampleDocs xmlns="905c3888-6285-45d0-bd76-60a9ac2d738c" xsi:nil="true"/>
    <TrustLevel xmlns="905c3888-6285-45d0-bd76-60a9ac2d738c">1 Microsoft Managed Content</TrustLevel>
    <BlockPublish xmlns="905c3888-6285-45d0-bd76-60a9ac2d738c">false</BlockPublish>
    <TPLaunchHelpLinkType xmlns="905c3888-6285-45d0-bd76-60a9ac2d738c">Template</TPLaunchHelpLinkType>
    <LocalizationTagsTaxHTField0 xmlns="905c3888-6285-45d0-bd76-60a9ac2d738c">
      <Terms xmlns="http://schemas.microsoft.com/office/infopath/2007/PartnerControls"/>
    </LocalizationTagsTaxHTField0>
    <BusinessGroup xmlns="905c3888-6285-45d0-bd76-60a9ac2d738c" xsi:nil="true"/>
    <Providers xmlns="905c3888-6285-45d0-bd76-60a9ac2d738c" xsi:nil="true"/>
    <TemplateTemplateType xmlns="905c3888-6285-45d0-bd76-60a9ac2d738c">Excel Spreadsheet Template</TemplateTemplateType>
    <TimesCloned xmlns="905c3888-6285-45d0-bd76-60a9ac2d738c" xsi:nil="true"/>
    <TPAppVersion xmlns="905c3888-6285-45d0-bd76-60a9ac2d738c" xsi:nil="true"/>
    <VoteCount xmlns="905c3888-6285-45d0-bd76-60a9ac2d738c" xsi:nil="true"/>
    <AverageRating xmlns="905c3888-6285-45d0-bd76-60a9ac2d738c" xsi:nil="true"/>
    <FeatureTagsTaxHTField0 xmlns="905c3888-6285-45d0-bd76-60a9ac2d738c">
      <Terms xmlns="http://schemas.microsoft.com/office/infopath/2007/PartnerControls"/>
    </FeatureTagsTaxHTField0>
    <Provider xmlns="905c3888-6285-45d0-bd76-60a9ac2d738c" xsi:nil="true"/>
    <UACurrentWords xmlns="905c3888-6285-45d0-bd76-60a9ac2d738c" xsi:nil="true"/>
    <AssetId xmlns="905c3888-6285-45d0-bd76-60a9ac2d738c">TP102929977</AssetId>
    <TPClientViewer xmlns="905c3888-6285-45d0-bd76-60a9ac2d738c" xsi:nil="true"/>
    <DSATActionTaken xmlns="905c3888-6285-45d0-bd76-60a9ac2d738c" xsi:nil="true"/>
    <APEditor xmlns="905c3888-6285-45d0-bd76-60a9ac2d738c">
      <UserInfo>
        <DisplayName/>
        <AccountId xsi:nil="true"/>
        <AccountType/>
      </UserInfo>
    </APEditor>
    <TPInstallLocation xmlns="905c3888-6285-45d0-bd76-60a9ac2d738c" xsi:nil="true"/>
    <OOCacheId xmlns="905c3888-6285-45d0-bd76-60a9ac2d738c" xsi:nil="true"/>
    <IsDeleted xmlns="905c3888-6285-45d0-bd76-60a9ac2d738c">false</IsDeleted>
    <PublishTargets xmlns="905c3888-6285-45d0-bd76-60a9ac2d738c">OfficeOnlineVNext</PublishTargets>
    <ApprovalLog xmlns="905c3888-6285-45d0-bd76-60a9ac2d738c" xsi:nil="true"/>
    <BugNumber xmlns="905c3888-6285-45d0-bd76-60a9ac2d738c" xsi:nil="true"/>
    <CrawlForDependencies xmlns="905c3888-6285-45d0-bd76-60a9ac2d738c">false</CrawlForDependencies>
    <InternalTagsTaxHTField0 xmlns="905c3888-6285-45d0-bd76-60a9ac2d738c">
      <Terms xmlns="http://schemas.microsoft.com/office/infopath/2007/PartnerControls"/>
    </InternalTagsTaxHTField0>
    <LastHandOff xmlns="905c3888-6285-45d0-bd76-60a9ac2d738c" xsi:nil="true"/>
    <Milestone xmlns="905c3888-6285-45d0-bd76-60a9ac2d738c" xsi:nil="true"/>
    <OriginalRelease xmlns="905c3888-6285-45d0-bd76-60a9ac2d738c">15</OriginalRelease>
    <RecommendationsModifier xmlns="905c3888-6285-45d0-bd76-60a9ac2d738c" xsi:nil="true"/>
    <ScenarioTagsTaxHTField0 xmlns="905c3888-6285-45d0-bd76-60a9ac2d738c">
      <Terms xmlns="http://schemas.microsoft.com/office/infopath/2007/PartnerControls"/>
    </ScenarioTagsTaxHTField0>
    <UANotes xmlns="905c3888-6285-45d0-bd76-60a9ac2d738c" xsi:nil="true"/>
    <Description0 xmlns="a0b64b53-fba7-43ca-b952-90e5e74773dd" xsi:nil="true"/>
    <Component0 xmlns="a0b64b53-fba7-43ca-b952-90e5e74773dd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TemplateFile" ma:contentTypeID="0x0101008D8B3457135D67479991424C624CBB4704002439B9162B2E88498A324BEFF3815221" ma:contentTypeVersion="55" ma:contentTypeDescription="Create a new document." ma:contentTypeScope="" ma:versionID="a7e4f43ee53fc86ae1dd6272262eb9fb">
  <xsd:schema xmlns:xsd="http://www.w3.org/2001/XMLSchema" xmlns:xs="http://www.w3.org/2001/XMLSchema" xmlns:p="http://schemas.microsoft.com/office/2006/metadata/properties" xmlns:ns2="905c3888-6285-45d0-bd76-60a9ac2d738c" xmlns:ns3="a0b64b53-fba7-43ca-b952-90e5e74773dd" targetNamespace="http://schemas.microsoft.com/office/2006/metadata/properties" ma:root="true" ma:fieldsID="12cd52f9b34cd953802493d919c383c5" ns2:_="" ns3:_="">
    <xsd:import namespace="905c3888-6285-45d0-bd76-60a9ac2d738c"/>
    <xsd:import namespace="a0b64b53-fba7-43ca-b952-90e5e74773dd"/>
    <xsd:element name="properties">
      <xsd:complexType>
        <xsd:sequence>
          <xsd:element name="documentManagement">
            <xsd:complexType>
              <xsd:all>
                <xsd:element ref="ns2:AcquiredFrom" minOccurs="0"/>
                <xsd:element ref="ns2:UACurrentWords" minOccurs="0"/>
                <xsd:element ref="ns2:TPApplication" minOccurs="0"/>
                <xsd:element ref="ns2:ApprovalLog" minOccurs="0"/>
                <xsd:element ref="ns2:ApprovalStatus" minOccurs="0"/>
                <xsd:element ref="ns2:AssetStart" minOccurs="0"/>
                <xsd:element ref="ns2:AssetExpire" minOccurs="0"/>
                <xsd:element ref="ns2:AssetId" minOccurs="0"/>
                <xsd:element ref="ns2:IsSearchable" minOccurs="0"/>
                <xsd:element ref="ns2:AssetType" minOccurs="0"/>
                <xsd:element ref="ns2:APAuthor" minOccurs="0"/>
                <xsd:element ref="ns2:AverageRating" minOccurs="0"/>
                <xsd:element ref="ns2:BlockPublish" minOccurs="0"/>
                <xsd:element ref="ns2:BugNumber" minOccurs="0"/>
                <xsd:element ref="ns2:CampaignTagsTaxHTField0" minOccurs="0"/>
                <xsd:element ref="ns2:TPClientViewer" minOccurs="0"/>
                <xsd:element ref="ns2:ClipArtFilename" minOccurs="0"/>
                <xsd:element ref="ns2:TPCommandLine" minOccurs="0"/>
                <xsd:element ref="ns2:TPComponent" minOccurs="0"/>
                <xsd:element ref="ns2:ContentItem" minOccurs="0"/>
                <xsd:element ref="ns2:CrawlForDependencies" minOccurs="0"/>
                <xsd:element ref="ns2:CSXHash" minOccurs="0"/>
                <xsd:element ref="ns2:CSXSubmissionMarket" minOccurs="0"/>
                <xsd:element ref="ns2:CSXUpdate" minOccurs="0"/>
                <xsd:element ref="ns2:IntlLangReviewDate" minOccurs="0"/>
                <xsd:element ref="ns2:IsDeleted" minOccurs="0"/>
                <xsd:element ref="ns2:APDescription" minOccurs="0"/>
                <xsd:element ref="ns2:DirectSourceMarket" minOccurs="0"/>
                <xsd:element ref="ns2:Downloads" minOccurs="0"/>
                <xsd:element ref="ns2:DSATActionTaken" minOccurs="0"/>
                <xsd:element ref="ns2:APEditor" minOccurs="0"/>
                <xsd:element ref="ns2:EditorialStatus" minOccurs="0"/>
                <xsd:element ref="ns2:EditorialTags" minOccurs="0"/>
                <xsd:element ref="ns2:TPExecutable" minOccurs="0"/>
                <xsd:element ref="ns2:FeatureTagsTaxHTField0" minOccurs="0"/>
                <xsd:element ref="ns2:TPFriendlyName" minOccurs="0"/>
                <xsd:element ref="ns2:FriendlyTitle" minOccurs="0"/>
                <xsd:element ref="ns2:PrimaryImageGen" minOccurs="0"/>
                <xsd:element ref="ns2:HandoffToMSDN" minOccurs="0"/>
                <xsd:element ref="ns2:InProjectListLookup" minOccurs="0"/>
                <xsd:element ref="ns2:TPInstallLocation" minOccurs="0"/>
                <xsd:element ref="ns2:InternalTagsTaxHTField0" minOccurs="0"/>
                <xsd:element ref="ns2:IntlLangReview" minOccurs="0"/>
                <xsd:element ref="ns2:IntlLangReviewer" minOccurs="0"/>
                <xsd:element ref="ns2:MarketSpecific" minOccurs="0"/>
                <xsd:element ref="ns2:LastCompleteVersionLookup" minOccurs="0"/>
                <xsd:element ref="ns2:LastHandOff" minOccurs="0"/>
                <xsd:element ref="ns2:LastModifiedDateTime" minOccurs="0"/>
                <xsd:element ref="ns2:LastPreviewErrorLookup" minOccurs="0"/>
                <xsd:element ref="ns2:LastPreviewResultLookup" minOccurs="0"/>
                <xsd:element ref="ns2:LastPreviewAttemptDateLookup" minOccurs="0"/>
                <xsd:element ref="ns2:LastPreviewedByLookup" minOccurs="0"/>
                <xsd:element ref="ns2:LastPreviewTimeLookup" minOccurs="0"/>
                <xsd:element ref="ns2:LastPreviewVersionLookup" minOccurs="0"/>
                <xsd:element ref="ns2:LastPublishErrorLookup" minOccurs="0"/>
                <xsd:element ref="ns2:LastPublishResultLookup" minOccurs="0"/>
                <xsd:element ref="ns2:LastPublishAttemptDateLookup" minOccurs="0"/>
                <xsd:element ref="ns2:LastPublishedByLookup" minOccurs="0"/>
                <xsd:element ref="ns2:LastPublishTimeLookup" minOccurs="0"/>
                <xsd:element ref="ns2:LastPublishVersionLookup" minOccurs="0"/>
                <xsd:element ref="ns2:TPLaunchHelpLinkType" minOccurs="0"/>
                <xsd:element ref="ns2:LegacyData" minOccurs="0"/>
                <xsd:element ref="ns2:TPLaunchHelpLink" minOccurs="0"/>
                <xsd:element ref="ns2:LocComments" minOccurs="0"/>
                <xsd:element ref="ns2:LocLastLocAttemptVersionLookup" minOccurs="0"/>
                <xsd:element ref="ns2:LocLastLocAttemptVersionTypeLookup" minOccurs="0"/>
                <xsd:element ref="ns2:LocManualTestRequired" minOccurs="0"/>
                <xsd:element ref="ns2:LocMarketGroupTiers2" minOccurs="0"/>
                <xsd:element ref="ns2:LocNewPublishedVersionLookup" minOccurs="0"/>
                <xsd:element ref="ns2:LocOverallHandbackStatusLookup" minOccurs="0"/>
                <xsd:element ref="ns2:LocOverallLocStatusLookup" minOccurs="0"/>
                <xsd:element ref="ns2:LocOverallPreviewStatusLookup" minOccurs="0"/>
                <xsd:element ref="ns2:LocOverallPublishStatusLookup" minOccurs="0"/>
                <xsd:element ref="ns2:IntlLocPriority" minOccurs="0"/>
                <xsd:element ref="ns2:LocProcessedForHandoffsLookup" minOccurs="0"/>
                <xsd:element ref="ns2:LocProcessedForMarketsLookup" minOccurs="0"/>
                <xsd:element ref="ns2:LocPublishedDependentAssetsLookup" minOccurs="0"/>
                <xsd:element ref="ns2:LocPublishedLinkedAssetsLookup" minOccurs="0"/>
                <xsd:element ref="ns2:LocRecommendedHandoff" minOccurs="0"/>
                <xsd:element ref="ns2:LocalizationTagsTaxHTField0" minOccurs="0"/>
                <xsd:element ref="ns2:MachineTranslated" minOccurs="0"/>
                <xsd:element ref="ns2:Manager" minOccurs="0"/>
                <xsd:element ref="ns2:Markets" minOccurs="0"/>
                <xsd:element ref="ns2:Milestone" minOccurs="0"/>
                <xsd:element ref="ns2:TPNamespace" minOccurs="0"/>
                <xsd:element ref="ns2:NumericId" minOccurs="0"/>
                <xsd:element ref="ns2:NumOfRatingsLookup" minOccurs="0"/>
                <xsd:element ref="ns2:OOCacheId" minOccurs="0"/>
                <xsd:element ref="ns2:OpenTemplate" minOccurs="0"/>
                <xsd:element ref="ns2:OriginAsset" minOccurs="0"/>
                <xsd:element ref="ns2:OriginalRelease" minOccurs="0"/>
                <xsd:element ref="ns2:OriginalSourceMarket" minOccurs="0"/>
                <xsd:element ref="ns2:OutputCachingOn" minOccurs="0"/>
                <xsd:element ref="ns2:ParentAssetId" minOccurs="0"/>
                <xsd:element ref="ns2:PlannedPubDate" minOccurs="0"/>
                <xsd:element ref="ns2:PolicheckWords" minOccurs="0"/>
                <xsd:element ref="ns2:BusinessGroup" minOccurs="0"/>
                <xsd:element ref="ns2:UAProjectedTotalWords" minOccurs="0"/>
                <xsd:element ref="ns2:Provider" minOccurs="0"/>
                <xsd:element ref="ns2:Providers" minOccurs="0"/>
                <xsd:element ref="ns2:PublishStatusLookup" minOccurs="0"/>
                <xsd:element ref="ns2:PublishTargets" minOccurs="0"/>
                <xsd:element ref="ns2:RecommendationsModifier" minOccurs="0"/>
                <xsd:element ref="ns2:ArtSampleDocs" minOccurs="0"/>
                <xsd:element ref="ns2:ScenarioTagsTaxHTField0" minOccurs="0"/>
                <xsd:element ref="ns2:ShowIn" minOccurs="0"/>
                <xsd:element ref="ns2:SourceTitle" minOccurs="0"/>
                <xsd:element ref="ns2:CSXSubmissionDate" minOccurs="0"/>
                <xsd:element ref="ns2:SubmitterId" minOccurs="0"/>
                <xsd:element ref="ns2:TaxCatchAll" minOccurs="0"/>
                <xsd:element ref="ns2:TaxCatchAllLabel" minOccurs="0"/>
                <xsd:element ref="ns2:TemplateStatus" minOccurs="0"/>
                <xsd:element ref="ns2:TemplateTemplateType" minOccurs="0"/>
                <xsd:element ref="ns2:ThumbnailAssetId" minOccurs="0"/>
                <xsd:element ref="ns2:TimesCloned" minOccurs="0"/>
                <xsd:element ref="ns2:TrustLevel" minOccurs="0"/>
                <xsd:element ref="ns2:UALocComments" minOccurs="0"/>
                <xsd:element ref="ns2:UALocRecommendation" minOccurs="0"/>
                <xsd:element ref="ns2:UANotes" minOccurs="0"/>
                <xsd:element ref="ns2:TPAppVersion" minOccurs="0"/>
                <xsd:element ref="ns2:VoteCount" minOccurs="0"/>
                <xsd:element ref="ns3:Description0" minOccurs="0"/>
                <xsd:element ref="ns3:Component0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05c3888-6285-45d0-bd76-60a9ac2d738c" elementFormDefault="qualified">
    <xsd:import namespace="http://schemas.microsoft.com/office/2006/documentManagement/types"/>
    <xsd:import namespace="http://schemas.microsoft.com/office/infopath/2007/PartnerControls"/>
    <xsd:element name="AcquiredFrom" ma:index="1" nillable="true" ma:displayName="Acquired From" ma:default="Internal MS" ma:internalName="AcquiredFrom" ma:readOnly="false">
      <xsd:simpleType>
        <xsd:restriction base="dms:Choice">
          <xsd:enumeration value="Internal MS"/>
          <xsd:enumeration value="Community"/>
          <xsd:enumeration value="MVP"/>
          <xsd:enumeration value="Publisher"/>
          <xsd:enumeration value="Partner"/>
          <xsd:enumeration value="None"/>
        </xsd:restriction>
      </xsd:simpleType>
    </xsd:element>
    <xsd:element name="UACurrentWords" ma:index="2" nillable="true" ma:displayName="Actual Word Count" ma:default="" ma:internalName="UACurrentWords" ma:readOnly="false">
      <xsd:simpleType>
        <xsd:restriction base="dms:Unknown"/>
      </xsd:simpleType>
    </xsd:element>
    <xsd:element name="TPApplication" ma:index="3" nillable="true" ma:displayName="Application to Open Template With" ma:default="" ma:internalName="TPApplication">
      <xsd:simpleType>
        <xsd:restriction base="dms:Text"/>
      </xsd:simpleType>
    </xsd:element>
    <xsd:element name="ApprovalLog" ma:index="4" nillable="true" ma:displayName="Approval Log" ma:default="" ma:hidden="true" ma:internalName="ApprovalLog" ma:readOnly="false">
      <xsd:simpleType>
        <xsd:restriction base="dms:Note"/>
      </xsd:simpleType>
    </xsd:element>
    <xsd:element name="ApprovalStatus" ma:index="5" nillable="true" ma:displayName="Approval Status" ma:default="InProgress" ma:internalName="ApprovalStatus" ma:readOnly="false">
      <xsd:simpleType>
        <xsd:restriction base="dms:Choice">
          <xsd:enumeration value="InProgress"/>
          <xsd:enumeration value="Rejected"/>
          <xsd:enumeration value="Questionable"/>
          <xsd:enumeration value="ApprovedAutomatic"/>
          <xsd:enumeration value="ApprovedManual"/>
          <xsd:enumeration value="On Hold"/>
          <xsd:enumeration value="Needs Review"/>
          <xsd:enumeration value="A Violation"/>
          <xsd:enumeration value="Unpublished Violation"/>
        </xsd:restriction>
      </xsd:simpleType>
    </xsd:element>
    <xsd:element name="AssetStart" ma:index="6" nillable="true" ma:displayName="Asset Begin Date" ma:default="[Today]" ma:internalName="AssetStart" ma:readOnly="false">
      <xsd:simpleType>
        <xsd:restriction base="dms:DateTime"/>
      </xsd:simpleType>
    </xsd:element>
    <xsd:element name="AssetExpire" ma:index="7" nillable="true" ma:displayName="Asset End Date" ma:default="2029-01-01T00:00:00Z" ma:internalName="AssetExpire" ma:readOnly="false">
      <xsd:simpleType>
        <xsd:restriction base="dms:DateTime"/>
      </xsd:simpleType>
    </xsd:element>
    <xsd:element name="AssetId" ma:index="8" nillable="true" ma:displayName="Asset ID" ma:default="" ma:indexed="true" ma:internalName="AssetId" ma:readOnly="false">
      <xsd:simpleType>
        <xsd:restriction base="dms:Text">
          <xsd:maxLength value="255"/>
        </xsd:restriction>
      </xsd:simpleType>
    </xsd:element>
    <xsd:element name="IsSearchable" ma:index="9" nillable="true" ma:displayName="Asset Searchable?" ma:default="true" ma:internalName="IsSearchable" ma:readOnly="false">
      <xsd:simpleType>
        <xsd:restriction base="dms:Boolean"/>
      </xsd:simpleType>
    </xsd:element>
    <xsd:element name="AssetType" ma:index="10" nillable="true" ma:displayName="Asset Type" ma:default="" ma:internalName="AssetType" ma:readOnly="false">
      <xsd:simpleType>
        <xsd:restriction base="dms:Unknown"/>
      </xsd:simpleType>
    </xsd:element>
    <xsd:element name="APAuthor" ma:index="11" nillable="true" ma:displayName="Author" ma:default="" ma:list="UserInfo" ma:internalName="APAuth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AverageRating" ma:index="12" nillable="true" ma:displayName="Average Rating" ma:internalName="AverageRating" ma:readOnly="false">
      <xsd:simpleType>
        <xsd:restriction base="dms:Text"/>
      </xsd:simpleType>
    </xsd:element>
    <xsd:element name="BlockPublish" ma:index="13" nillable="true" ma:displayName="Block from Publishing?" ma:default="" ma:internalName="BlockPublish" ma:readOnly="false">
      <xsd:simpleType>
        <xsd:restriction base="dms:Boolean"/>
      </xsd:simpleType>
    </xsd:element>
    <xsd:element name="BugNumber" ma:index="14" nillable="true" ma:displayName="Bug Number" ma:default="" ma:internalName="BugNumber" ma:readOnly="false">
      <xsd:simpleType>
        <xsd:restriction base="dms:Text"/>
      </xsd:simpleType>
    </xsd:element>
    <xsd:element name="CampaignTagsTaxHTField0" ma:index="16" nillable="true" ma:taxonomy="true" ma:internalName="CampaignTagsTaxHTField0" ma:taxonomyFieldName="CampaignTags" ma:displayName="Campaigns" ma:readOnly="false" ma:default="" ma:fieldId="{2fd52ad2-63b0-4f05-b7aa-a17a1c48ca45}" ma:taxonomyMulti="true" ma:sspId="8f79753a-75d3-41f5-8ca3-40b843941b4f" ma:termSetId="ca0e50d4-faa1-44ce-961e-bb1441c60e6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ClientViewer" ma:index="17" nillable="true" ma:displayName="Client Viewer" ma:default="" ma:internalName="TPClientViewer">
      <xsd:simpleType>
        <xsd:restriction base="dms:Text"/>
      </xsd:simpleType>
    </xsd:element>
    <xsd:element name="ClipArtFilename" ma:index="18" nillable="true" ma:displayName="Clip Art Name" ma:default="" ma:internalName="ClipArtFilename" ma:readOnly="false">
      <xsd:simpleType>
        <xsd:restriction base="dms:Text"/>
      </xsd:simpleType>
    </xsd:element>
    <xsd:element name="TPCommandLine" ma:index="19" nillable="true" ma:displayName="Command Line" ma:default="" ma:internalName="TPCommandLine">
      <xsd:simpleType>
        <xsd:restriction base="dms:Text"/>
      </xsd:simpleType>
    </xsd:element>
    <xsd:element name="TPComponent" ma:index="20" nillable="true" ma:displayName="Component" ma:default="" ma:internalName="TPComponent">
      <xsd:simpleType>
        <xsd:restriction base="dms:Text"/>
      </xsd:simpleType>
    </xsd:element>
    <xsd:element name="ContentItem" ma:index="21" nillable="true" ma:displayName="Content Item" ma:default="" ma:hidden="true" ma:internalName="ContentItem" ma:readOnly="false">
      <xsd:simpleType>
        <xsd:restriction base="dms:Unknown"/>
      </xsd:simpleType>
    </xsd:element>
    <xsd:element name="CrawlForDependencies" ma:index="23" nillable="true" ma:displayName="Crawl for Dependencies?" ma:default="true" ma:internalName="CrawlForDependencies" ma:readOnly="false">
      <xsd:simpleType>
        <xsd:restriction base="dms:Boolean"/>
      </xsd:simpleType>
    </xsd:element>
    <xsd:element name="CSXHash" ma:index="26" nillable="true" ma:displayName="CSX Hash" ma:default="" ma:indexed="true" ma:internalName="CSXHash" ma:readOnly="false">
      <xsd:simpleType>
        <xsd:restriction base="dms:Text"/>
      </xsd:simpleType>
    </xsd:element>
    <xsd:element name="CSXSubmissionMarket" ma:index="27" nillable="true" ma:displayName="CSX Submission Market" ma:default="" ma:list="{85FC5A58-2851-427E-95B4-AFAF1C73BA4D}" ma:internalName="CSXSubmissionMarket" ma:readOnly="false" ma:showField="MarketName" ma:web="905c3888-6285-45d0-bd76-60a9ac2d738c">
      <xsd:simpleType>
        <xsd:restriction base="dms:Lookup"/>
      </xsd:simpleType>
    </xsd:element>
    <xsd:element name="CSXUpdate" ma:index="28" nillable="true" ma:displayName="CSX Updated?" ma:default="false" ma:internalName="CSXUpdate" ma:readOnly="false">
      <xsd:simpleType>
        <xsd:restriction base="dms:Boolean"/>
      </xsd:simpleType>
    </xsd:element>
    <xsd:element name="IntlLangReviewDate" ma:index="29" nillable="true" ma:displayName="Date to Complete Intl QA" ma:default="" ma:internalName="IntlLangReviewDate" ma:readOnly="false">
      <xsd:simpleType>
        <xsd:restriction base="dms:DateTime"/>
      </xsd:simpleType>
    </xsd:element>
    <xsd:element name="IsDeleted" ma:index="30" nillable="true" ma:displayName="Deleted?" ma:default="" ma:internalName="IsDeleted" ma:readOnly="false">
      <xsd:simpleType>
        <xsd:restriction base="dms:Boolean"/>
      </xsd:simpleType>
    </xsd:element>
    <xsd:element name="APDescription" ma:index="31" nillable="true" ma:displayName="Description" ma:default="" ma:internalName="APDescription" ma:readOnly="false">
      <xsd:simpleType>
        <xsd:restriction base="dms:Note"/>
      </xsd:simpleType>
    </xsd:element>
    <xsd:element name="DirectSourceMarket" ma:index="32" nillable="true" ma:displayName="Direct Source Market Group" ma:default="" ma:internalName="DirectSourceMarket" ma:readOnly="false">
      <xsd:simpleType>
        <xsd:restriction base="dms:Text"/>
      </xsd:simpleType>
    </xsd:element>
    <xsd:element name="Downloads" ma:index="33" nillable="true" ma:displayName="Downloads" ma:default="0" ma:hidden="true" ma:internalName="Downloads" ma:readOnly="false">
      <xsd:simpleType>
        <xsd:restriction base="dms:Unknown"/>
      </xsd:simpleType>
    </xsd:element>
    <xsd:element name="DSATActionTaken" ma:index="34" nillable="true" ma:displayName="DSAT Action Taken" ma:default="" ma:internalName="DSATActionTaken" ma:readOnly="false">
      <xsd:simpleType>
        <xsd:restriction base="dms:Choice">
          <xsd:enumeration value="Best Bets"/>
          <xsd:enumeration value="Expire"/>
          <xsd:enumeration value="Hide"/>
          <xsd:enumeration value="None"/>
        </xsd:restriction>
      </xsd:simpleType>
    </xsd:element>
    <xsd:element name="APEditor" ma:index="35" nillable="true" ma:displayName="Editor" ma:default="" ma:list="UserInfo" ma:internalName="APEdit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ialStatus" ma:index="36" nillable="true" ma:displayName="Editorial Status" ma:default="" ma:internalName="EditorialStatus" ma:readOnly="false">
      <xsd:simpleType>
        <xsd:restriction base="dms:Unknown"/>
      </xsd:simpleType>
    </xsd:element>
    <xsd:element name="EditorialTags" ma:index="37" nillable="true" ma:displayName="Editorial Tags" ma:default="" ma:internalName="EditorialTags">
      <xsd:simpleType>
        <xsd:restriction base="dms:Unknown"/>
      </xsd:simpleType>
    </xsd:element>
    <xsd:element name="TPExecutable" ma:index="38" nillable="true" ma:displayName="Executable" ma:default="" ma:internalName="TPExecutable">
      <xsd:simpleType>
        <xsd:restriction base="dms:Text"/>
      </xsd:simpleType>
    </xsd:element>
    <xsd:element name="FeatureTagsTaxHTField0" ma:index="40" nillable="true" ma:taxonomy="true" ma:internalName="FeatureTagsTaxHTField0" ma:taxonomyFieldName="FeatureTags" ma:displayName="Features" ma:readOnly="false" ma:default="" ma:fieldId="{d402824c-da96-4981-b598-df734aacbc3e}" ma:taxonomyMulti="true" ma:sspId="8f79753a-75d3-41f5-8ca3-40b843941b4f" ma:termSetId="f1ab6845-967d-4854-a0ba-4ec07f0f811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FriendlyName" ma:index="41" nillable="true" ma:displayName="Friendly Name" ma:default="" ma:internalName="TPFriendlyName">
      <xsd:simpleType>
        <xsd:restriction base="dms:Text"/>
      </xsd:simpleType>
    </xsd:element>
    <xsd:element name="FriendlyTitle" ma:index="42" nillable="true" ma:displayName="Friendly Title" ma:default="" ma:description="Shorter title to be used when displaying search results" ma:internalName="FriendlyTitle" ma:readOnly="false">
      <xsd:simpleType>
        <xsd:restriction base="dms:Text"/>
      </xsd:simpleType>
    </xsd:element>
    <xsd:element name="PrimaryImageGen" ma:index="43" nillable="true" ma:displayName="Generate Images?" ma:default="true" ma:internalName="PrimaryImageGen">
      <xsd:simpleType>
        <xsd:restriction base="dms:Boolean"/>
      </xsd:simpleType>
    </xsd:element>
    <xsd:element name="HandoffToMSDN" ma:index="44" nillable="true" ma:displayName="Handoff To MSDN Date" ma:default="" ma:internalName="HandoffToMSDN" ma:readOnly="false">
      <xsd:simpleType>
        <xsd:restriction base="dms:DateTime"/>
      </xsd:simpleType>
    </xsd:element>
    <xsd:element name="InProjectListLookup" ma:index="45" nillable="true" ma:displayName="InProjectListLookup" ma:list="{7F948D4D-A57E-4E3F-87E9-0ABE9F2D748E}" ma:internalName="InProjectListLookup" ma:readOnly="true" ma:showField="InProjectList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InstallLocation" ma:index="46" nillable="true" ma:displayName="Install Location" ma:default="" ma:internalName="TPInstallLocation">
      <xsd:simpleType>
        <xsd:restriction base="dms:Text"/>
      </xsd:simpleType>
    </xsd:element>
    <xsd:element name="InternalTagsTaxHTField0" ma:index="48" nillable="true" ma:taxonomy="true" ma:internalName="InternalTagsTaxHTField0" ma:taxonomyFieldName="InternalTags" ma:displayName="Internal Tags" ma:readOnly="false" ma:default="" ma:fieldId="{b8eee2a3-2d4f-4b12-b229-9e667c371718}" ma:taxonomyMulti="true" ma:sspId="8f79753a-75d3-41f5-8ca3-40b843941b4f" ma:termSetId="82b6639e-f7fc-4c18-ad2d-003a6e70776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IntlLangReview" ma:index="49" nillable="true" ma:displayName="Intl Lang QA Review Required?" ma:default="" ma:internalName="IntlLangReview" ma:readOnly="false">
      <xsd:simpleType>
        <xsd:restriction base="dms:Boolean"/>
      </xsd:simpleType>
    </xsd:element>
    <xsd:element name="IntlLangReviewer" ma:index="50" nillable="true" ma:displayName="Intl Lang QA Reviewer" ma:default="" ma:internalName="IntlLangReviewer" ma:readOnly="false">
      <xsd:simpleType>
        <xsd:restriction base="dms:Text"/>
      </xsd:simpleType>
    </xsd:element>
    <xsd:element name="MarketSpecific" ma:index="51" nillable="true" ma:displayName="Is Market Specific?" ma:default="" ma:internalName="MarketSpecific" ma:readOnly="false">
      <xsd:simpleType>
        <xsd:restriction base="dms:Boolean"/>
      </xsd:simpleType>
    </xsd:element>
    <xsd:element name="LastCompleteVersionLookup" ma:index="52" nillable="true" ma:displayName="Last Complete Version Lookup" ma:default="" ma:list="{7F948D4D-A57E-4E3F-87E9-0ABE9F2D748E}" ma:internalName="LastCompleteVersionLookup" ma:readOnly="true" ma:showField="LastCompleteVersion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HandOff" ma:index="53" nillable="true" ma:displayName="Last Hand-off" ma:default="" ma:internalName="LastHandOff" ma:readOnly="false">
      <xsd:simpleType>
        <xsd:restriction base="dms:DateTime"/>
      </xsd:simpleType>
    </xsd:element>
    <xsd:element name="LastModifiedDateTime" ma:index="54" nillable="true" ma:displayName="Last Modified Date" ma:default="" ma:internalName="LastModifiedDateTime" ma:readOnly="false">
      <xsd:simpleType>
        <xsd:restriction base="dms:DateTime"/>
      </xsd:simpleType>
    </xsd:element>
    <xsd:element name="LastPreviewErrorLookup" ma:index="55" nillable="true" ma:displayName="Last Preview Attempt Error" ma:default="" ma:list="{7F948D4D-A57E-4E3F-87E9-0ABE9F2D748E}" ma:internalName="LastPreviewErrorLookup" ma:readOnly="true" ma:showField="LastPreviewError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ResultLookup" ma:index="56" nillable="true" ma:displayName="Last Preview Attempt Result" ma:default="" ma:list="{7F948D4D-A57E-4E3F-87E9-0ABE9F2D748E}" ma:internalName="LastPreviewResultLookup" ma:readOnly="true" ma:showField="LastPreviewResult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AttemptDateLookup" ma:index="57" nillable="true" ma:displayName="Last Preview Attempted On" ma:default="" ma:list="{7F948D4D-A57E-4E3F-87E9-0ABE9F2D748E}" ma:internalName="LastPreviewAttemptDateLookup" ma:readOnly="true" ma:showField="LastPreviewAttemptDate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edByLookup" ma:index="58" nillable="true" ma:displayName="Last Previewed By" ma:default="" ma:list="{7F948D4D-A57E-4E3F-87E9-0ABE9F2D748E}" ma:internalName="LastPreviewedByLookup" ma:readOnly="true" ma:showField="LastPreviewedBy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TimeLookup" ma:index="59" nillable="true" ma:displayName="Last Previewed Date" ma:default="" ma:list="{7F948D4D-A57E-4E3F-87E9-0ABE9F2D748E}" ma:internalName="LastPreviewTimeLookup" ma:readOnly="true" ma:showField="LastPreviewTime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VersionLookup" ma:index="60" nillable="true" ma:displayName="Last Previewed Version" ma:default="" ma:list="{7F948D4D-A57E-4E3F-87E9-0ABE9F2D748E}" ma:internalName="LastPreviewVersionLookup" ma:readOnly="true" ma:showField="LastPreviewVersion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rrorLookup" ma:index="61" nillable="true" ma:displayName="Last Publish Attempt Error" ma:default="" ma:list="{7F948D4D-A57E-4E3F-87E9-0ABE9F2D748E}" ma:internalName="LastPublishErrorLookup" ma:readOnly="true" ma:showField="LastPublishError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ResultLookup" ma:index="62" nillable="true" ma:displayName="Last Publish Attempt Result" ma:default="" ma:list="{7F948D4D-A57E-4E3F-87E9-0ABE9F2D748E}" ma:internalName="LastPublishResultLookup" ma:readOnly="true" ma:showField="LastPublishResult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AttemptDateLookup" ma:index="63" nillable="true" ma:displayName="Last Publish Attempted On" ma:default="" ma:list="{7F948D4D-A57E-4E3F-87E9-0ABE9F2D748E}" ma:internalName="LastPublishAttemptDateLookup" ma:readOnly="true" ma:showField="LastPublishAttemptDate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dByLookup" ma:index="64" nillable="true" ma:displayName="Last Published By" ma:default="" ma:list="{7F948D4D-A57E-4E3F-87E9-0ABE9F2D748E}" ma:internalName="LastPublishedByLookup" ma:readOnly="true" ma:showField="LastPublishedBy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TimeLookup" ma:index="65" nillable="true" ma:displayName="Last Published Date" ma:default="" ma:list="{7F948D4D-A57E-4E3F-87E9-0ABE9F2D748E}" ma:internalName="LastPublishTimeLookup" ma:readOnly="true" ma:showField="LastPublishTime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VersionLookup" ma:index="66" nillable="true" ma:displayName="Last Published Version" ma:default="" ma:list="{7F948D4D-A57E-4E3F-87E9-0ABE9F2D748E}" ma:internalName="LastPublishVersionLookup" ma:readOnly="true" ma:showField="LastPublishVersion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LaunchHelpLinkType" ma:index="67" nillable="true" ma:displayName="Launch Help Link Type" ma:default="Template" ma:internalName="TPLaunchHelpLinkType">
      <xsd:simpleType>
        <xsd:restriction base="dms:Choice">
          <xsd:enumeration value="Template"/>
          <xsd:enumeration value="Training"/>
          <xsd:enumeration value="URL"/>
          <xsd:enumeration value="None"/>
        </xsd:restriction>
      </xsd:simpleType>
    </xsd:element>
    <xsd:element name="LegacyData" ma:index="68" nillable="true" ma:displayName="Legacy Data" ma:default="" ma:internalName="LegacyData" ma:readOnly="false">
      <xsd:simpleType>
        <xsd:restriction base="dms:Note"/>
      </xsd:simpleType>
    </xsd:element>
    <xsd:element name="TPLaunchHelpLink" ma:index="69" nillable="true" ma:displayName="Link to Launch Help Topic" ma:default="" ma:internalName="TPLaunchHelpLink">
      <xsd:simpleType>
        <xsd:restriction base="dms:Text"/>
      </xsd:simpleType>
    </xsd:element>
    <xsd:element name="LocComments" ma:index="70" nillable="true" ma:displayName="Loc Approval Comments" ma:default="" ma:internalName="LocComments" ma:readOnly="false">
      <xsd:simpleType>
        <xsd:restriction base="dms:Note"/>
      </xsd:simpleType>
    </xsd:element>
    <xsd:element name="LocLastLocAttemptVersionLookup" ma:index="71" nillable="true" ma:displayName="Loc Last Loc Attempt Version" ma:default="" ma:list="{B1EFB310-8154-40EE-A736-2FF11D479763}" ma:internalName="LocLastLocAttemptVersionLookup" ma:readOnly="false" ma:showField="LastLocAttemptVersion" ma:web="905c3888-6285-45d0-bd76-60a9ac2d738c">
      <xsd:simpleType>
        <xsd:restriction base="dms:Lookup"/>
      </xsd:simpleType>
    </xsd:element>
    <xsd:element name="LocLastLocAttemptVersionTypeLookup" ma:index="72" nillable="true" ma:displayName="Loc Last Loc Attempt Version Type" ma:default="" ma:list="{B1EFB310-8154-40EE-A736-2FF11D479763}" ma:internalName="LocLastLocAttemptVersionTypeLookup" ma:readOnly="true" ma:showField="LastLocAttemptVersionType" ma:web="905c3888-6285-45d0-bd76-60a9ac2d738c">
      <xsd:simpleType>
        <xsd:restriction base="dms:Lookup"/>
      </xsd:simpleType>
    </xsd:element>
    <xsd:element name="LocManualTestRequired" ma:index="73" nillable="true" ma:displayName="Loc Manual Test Required" ma:default="" ma:internalName="LocManualTestRequired" ma:readOnly="false">
      <xsd:simpleType>
        <xsd:restriction base="dms:Boolean"/>
      </xsd:simpleType>
    </xsd:element>
    <xsd:element name="LocMarketGroupTiers2" ma:index="74" nillable="true" ma:displayName="Loc Market Group Tiers" ma:internalName="LocMarketGroupTiers2" ma:readOnly="false">
      <xsd:simpleType>
        <xsd:restriction base="dms:Unknown"/>
      </xsd:simpleType>
    </xsd:element>
    <xsd:element name="LocNewPublishedVersionLookup" ma:index="75" nillable="true" ma:displayName="Loc New Published Version Lookup" ma:default="" ma:list="{B1EFB310-8154-40EE-A736-2FF11D479763}" ma:internalName="LocNewPublishedVersionLookup" ma:readOnly="true" ma:showField="NewPublishedVersion" ma:web="905c3888-6285-45d0-bd76-60a9ac2d738c">
      <xsd:simpleType>
        <xsd:restriction base="dms:Lookup"/>
      </xsd:simpleType>
    </xsd:element>
    <xsd:element name="LocOverallHandbackStatusLookup" ma:index="76" nillable="true" ma:displayName="Loc Overall Handback Status" ma:default="" ma:list="{B1EFB310-8154-40EE-A736-2FF11D479763}" ma:internalName="LocOverallHandbackStatusLookup" ma:readOnly="true" ma:showField="OverallHandbackStatus" ma:web="905c3888-6285-45d0-bd76-60a9ac2d738c">
      <xsd:simpleType>
        <xsd:restriction base="dms:Lookup"/>
      </xsd:simpleType>
    </xsd:element>
    <xsd:element name="LocOverallLocStatusLookup" ma:index="77" nillable="true" ma:displayName="Loc Overall Localize Status" ma:default="" ma:list="{B1EFB310-8154-40EE-A736-2FF11D479763}" ma:internalName="LocOverallLocStatusLookup" ma:readOnly="true" ma:showField="OverallLocStatus" ma:web="905c3888-6285-45d0-bd76-60a9ac2d738c">
      <xsd:simpleType>
        <xsd:restriction base="dms:Lookup"/>
      </xsd:simpleType>
    </xsd:element>
    <xsd:element name="LocOverallPreviewStatusLookup" ma:index="78" nillable="true" ma:displayName="Loc Overall Preview Status" ma:default="" ma:list="{B1EFB310-8154-40EE-A736-2FF11D479763}" ma:internalName="LocOverallPreviewStatusLookup" ma:readOnly="true" ma:showField="OverallPreviewStatus" ma:web="905c3888-6285-45d0-bd76-60a9ac2d738c">
      <xsd:simpleType>
        <xsd:restriction base="dms:Lookup"/>
      </xsd:simpleType>
    </xsd:element>
    <xsd:element name="LocOverallPublishStatusLookup" ma:index="79" nillable="true" ma:displayName="Loc Overall Publish Status" ma:default="" ma:list="{B1EFB310-8154-40EE-A736-2FF11D479763}" ma:internalName="LocOverallPublishStatusLookup" ma:readOnly="true" ma:showField="OverallPublishStatus" ma:web="905c3888-6285-45d0-bd76-60a9ac2d738c">
      <xsd:simpleType>
        <xsd:restriction base="dms:Lookup"/>
      </xsd:simpleType>
    </xsd:element>
    <xsd:element name="IntlLocPriority" ma:index="80" nillable="true" ma:displayName="Loc Priority" ma:default="" ma:internalName="IntlLocPriority" ma:readOnly="false">
      <xsd:simpleType>
        <xsd:restriction base="dms:Unknown"/>
      </xsd:simpleType>
    </xsd:element>
    <xsd:element name="LocProcessedForHandoffsLookup" ma:index="81" nillable="true" ma:displayName="Loc Processed For Handoffs" ma:default="" ma:list="{B1EFB310-8154-40EE-A736-2FF11D479763}" ma:internalName="LocProcessedForHandoffsLookup" ma:readOnly="true" ma:showField="ProcessedForHandoffs" ma:web="905c3888-6285-45d0-bd76-60a9ac2d738c">
      <xsd:simpleType>
        <xsd:restriction base="dms:Lookup"/>
      </xsd:simpleType>
    </xsd:element>
    <xsd:element name="LocProcessedForMarketsLookup" ma:index="82" nillable="true" ma:displayName="Loc Processed For Markets" ma:default="" ma:list="{B1EFB310-8154-40EE-A736-2FF11D479763}" ma:internalName="LocProcessedForMarketsLookup" ma:readOnly="true" ma:showField="ProcessedForMarkets" ma:web="905c3888-6285-45d0-bd76-60a9ac2d738c">
      <xsd:simpleType>
        <xsd:restriction base="dms:Lookup"/>
      </xsd:simpleType>
    </xsd:element>
    <xsd:element name="LocPublishedDependentAssetsLookup" ma:index="83" nillable="true" ma:displayName="Loc Published Dependent Assets" ma:default="" ma:list="{B1EFB310-8154-40EE-A736-2FF11D479763}" ma:internalName="LocPublishedDependentAssetsLookup" ma:readOnly="true" ma:showField="PublishedDependentAssets" ma:web="905c3888-6285-45d0-bd76-60a9ac2d738c">
      <xsd:simpleType>
        <xsd:restriction base="dms:Lookup"/>
      </xsd:simpleType>
    </xsd:element>
    <xsd:element name="LocPublishedLinkedAssetsLookup" ma:index="84" nillable="true" ma:displayName="Loc Published Linked Assets" ma:default="" ma:list="{B1EFB310-8154-40EE-A736-2FF11D479763}" ma:internalName="LocPublishedLinkedAssetsLookup" ma:readOnly="true" ma:showField="PublishedLinkedAssets" ma:web="905c3888-6285-45d0-bd76-60a9ac2d738c">
      <xsd:simpleType>
        <xsd:restriction base="dms:Lookup"/>
      </xsd:simpleType>
    </xsd:element>
    <xsd:element name="LocRecommendedHandoff" ma:index="85" nillable="true" ma:displayName="Loc Recommended Handoff" ma:default="" ma:indexed="true" ma:internalName="LocRecommendedHandoff" ma:readOnly="false">
      <xsd:simpleType>
        <xsd:restriction base="dms:Text"/>
      </xsd:simpleType>
    </xsd:element>
    <xsd:element name="LocalizationTagsTaxHTField0" ma:index="87" nillable="true" ma:taxonomy="true" ma:internalName="LocalizationTagsTaxHTField0" ma:taxonomyFieldName="LocalizationTags" ma:displayName="Localization Tags" ma:readOnly="false" ma:default="" ma:fieldId="{726a1ece-9747-4e7d-9113-bc8295fd2c1d}" ma:taxonomyMulti="true" ma:sspId="8f79753a-75d3-41f5-8ca3-40b843941b4f" ma:termSetId="5b7703a5-8e8b-4b58-8b31-1cea35331da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achineTranslated" ma:index="88" nillable="true" ma:displayName="Machine Translated" ma:default="" ma:internalName="MachineTranslated" ma:readOnly="false">
      <xsd:simpleType>
        <xsd:restriction base="dms:Boolean"/>
      </xsd:simpleType>
    </xsd:element>
    <xsd:element name="Manager" ma:index="89" nillable="true" ma:displayName="Manager" ma:hidden="true" ma:internalName="Manager" ma:readOnly="false">
      <xsd:simpleType>
        <xsd:restriction base="dms:Text"/>
      </xsd:simpleType>
    </xsd:element>
    <xsd:element name="Markets" ma:index="90" nillable="true" ma:displayName="Markets" ma:default="" ma:description="Leave blank to show in all markets" ma:list="{85FC5A58-2851-427E-95B4-AFAF1C73BA4D}" ma:internalName="Markets" ma:readOnly="false" ma:showField="MarketName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Milestone" ma:index="91" nillable="true" ma:displayName="Milestone" ma:default="" ma:internalName="Milestone" ma:readOnly="false">
      <xsd:simpleType>
        <xsd:restriction base="dms:Unknown"/>
      </xsd:simpleType>
    </xsd:element>
    <xsd:element name="TPNamespace" ma:index="94" nillable="true" ma:displayName="Namespace" ma:default="" ma:internalName="TPNamespace">
      <xsd:simpleType>
        <xsd:restriction base="dms:Text"/>
      </xsd:simpleType>
    </xsd:element>
    <xsd:element name="NumericId" ma:index="95" nillable="true" ma:displayName="Numeric ID" ma:default="" ma:indexed="true" ma:internalName="NumericId" ma:readOnly="false">
      <xsd:simpleType>
        <xsd:restriction base="dms:Number"/>
      </xsd:simpleType>
    </xsd:element>
    <xsd:element name="NumOfRatingsLookup" ma:index="96" nillable="true" ma:displayName="NumOfRatings" ma:default="" ma:list="{7F948D4D-A57E-4E3F-87E9-0ABE9F2D748E}" ma:internalName="NumOfRatingsLookup" ma:readOnly="true" ma:showField="NumOfRatings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OOCacheId" ma:index="97" nillable="true" ma:displayName="OOCacheId" ma:internalName="OOCacheId" ma:readOnly="false">
      <xsd:simpleType>
        <xsd:restriction base="dms:Text"/>
      </xsd:simpleType>
    </xsd:element>
    <xsd:element name="OpenTemplate" ma:index="98" nillable="true" ma:displayName="Open Template" ma:default="true" ma:internalName="OpenTemplate">
      <xsd:simpleType>
        <xsd:restriction base="dms:Boolean"/>
      </xsd:simpleType>
    </xsd:element>
    <xsd:element name="OriginAsset" ma:index="99" nillable="true" ma:displayName="Origin Asset" ma:default="" ma:internalName="OriginAsset" ma:readOnly="false">
      <xsd:simpleType>
        <xsd:restriction base="dms:Text"/>
      </xsd:simpleType>
    </xsd:element>
    <xsd:element name="OriginalRelease" ma:index="100" nillable="true" ma:displayName="Original Release" ma:default="15" ma:internalName="OriginalRelease" ma:readOnly="false">
      <xsd:simpleType>
        <xsd:restriction base="dms:Choice">
          <xsd:enumeration value="14"/>
          <xsd:enumeration value="15"/>
          <xsd:enumeration value="16"/>
        </xsd:restriction>
      </xsd:simpleType>
    </xsd:element>
    <xsd:element name="OriginalSourceMarket" ma:index="101" nillable="true" ma:displayName="Original Source Market Group" ma:default="" ma:internalName="OriginalSourceMarket" ma:readOnly="false">
      <xsd:simpleType>
        <xsd:restriction base="dms:Text"/>
      </xsd:simpleType>
    </xsd:element>
    <xsd:element name="OutputCachingOn" ma:index="102" nillable="true" ma:displayName="Output Caching" ma:default="true" ma:hidden="true" ma:internalName="OutputCachingOn" ma:readOnly="false">
      <xsd:simpleType>
        <xsd:restriction base="dms:Boolean"/>
      </xsd:simpleType>
    </xsd:element>
    <xsd:element name="ParentAssetId" ma:index="103" nillable="true" ma:displayName="Parent Asset Id" ma:default="" ma:internalName="ParentAssetId" ma:readOnly="false">
      <xsd:simpleType>
        <xsd:restriction base="dms:Text"/>
      </xsd:simpleType>
    </xsd:element>
    <xsd:element name="PlannedPubDate" ma:index="104" nillable="true" ma:displayName="Planned Publish Date" ma:default="" ma:indexed="true" ma:internalName="PlannedPubDate" ma:readOnly="false">
      <xsd:simpleType>
        <xsd:restriction base="dms:DateTime"/>
      </xsd:simpleType>
    </xsd:element>
    <xsd:element name="PolicheckWords" ma:index="105" nillable="true" ma:displayName="Policheck Words" ma:default="" ma:internalName="PolicheckWords" ma:readOnly="false">
      <xsd:simpleType>
        <xsd:restriction base="dms:Text"/>
      </xsd:simpleType>
    </xsd:element>
    <xsd:element name="BusinessGroup" ma:index="106" nillable="true" ma:displayName="Product Division Owner" ma:default="" ma:internalName="BusinessGroup" ma:readOnly="false">
      <xsd:simpleType>
        <xsd:restriction base="dms:Unknown"/>
      </xsd:simpleType>
    </xsd:element>
    <xsd:element name="UAProjectedTotalWords" ma:index="107" nillable="true" ma:displayName="Projected Word Count" ma:default="" ma:internalName="UAProjectedTotalWords" ma:readOnly="false">
      <xsd:simpleType>
        <xsd:restriction base="dms:Unknown"/>
      </xsd:simpleType>
    </xsd:element>
    <xsd:element name="Provider" ma:index="108" nillable="true" ma:displayName="Provider" ma:default="" ma:internalName="Provider" ma:readOnly="false">
      <xsd:simpleType>
        <xsd:restriction base="dms:Unknown"/>
      </xsd:simpleType>
    </xsd:element>
    <xsd:element name="Providers" ma:index="109" nillable="true" ma:displayName="Providers" ma:default="" ma:internalName="Providers">
      <xsd:simpleType>
        <xsd:restriction base="dms:Unknown"/>
      </xsd:simpleType>
    </xsd:element>
    <xsd:element name="PublishStatusLookup" ma:index="110" nillable="true" ma:displayName="Publish Status" ma:default="" ma:list="{7F948D4D-A57E-4E3F-87E9-0ABE9F2D748E}" ma:internalName="PublishStatusLookup" ma:readOnly="false" ma:showField="PublishStatus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PublishTargets" ma:index="111" nillable="true" ma:displayName="Publish Target" ma:default="OfficeOnlineVNext" ma:internalName="PublishTargets" ma:readOnly="false">
      <xsd:simpleType>
        <xsd:restriction base="dms:Unknown"/>
      </xsd:simpleType>
    </xsd:element>
    <xsd:element name="RecommendationsModifier" ma:index="112" nillable="true" ma:displayName="Recommendations Modifier" ma:default="" ma:internalName="RecommendationsModifier" ma:readOnly="false">
      <xsd:simpleType>
        <xsd:restriction base="dms:Number"/>
      </xsd:simpleType>
    </xsd:element>
    <xsd:element name="ArtSampleDocs" ma:index="113" nillable="true" ma:displayName="Sample Docs" ma:default="" ma:hidden="true" ma:internalName="ArtSampleDocs" ma:readOnly="false">
      <xsd:simpleType>
        <xsd:restriction base="dms:Text"/>
      </xsd:simpleType>
    </xsd:element>
    <xsd:element name="ScenarioTagsTaxHTField0" ma:index="115" nillable="true" ma:taxonomy="true" ma:internalName="ScenarioTagsTaxHTField0" ma:taxonomyFieldName="ScenarioTags" ma:displayName="Scenarios" ma:readOnly="false" ma:default="" ma:fieldId="{cba8db9d-85f8-47e4-85af-460188139726}" ma:taxonomyMulti="true" ma:sspId="8f79753a-75d3-41f5-8ca3-40b843941b4f" ma:termSetId="4b7d5f16-e2f2-4fc0-bab3-6e8b931e57d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owIn" ma:index="117" nillable="true" ma:displayName="Show In" ma:default="Show everywhere" ma:internalName="ShowIn" ma:readOnly="false">
      <xsd:simpleType>
        <xsd:restriction base="dms:Choice">
          <xsd:enumeration value="Hide on web"/>
          <xsd:enumeration value="On Web no search"/>
          <xsd:enumeration value="Show everywhere"/>
          <xsd:enumeration value="Special use only"/>
        </xsd:restriction>
      </xsd:simpleType>
    </xsd:element>
    <xsd:element name="SourceTitle" ma:index="118" nillable="true" ma:displayName="Source Title" ma:default="" ma:indexed="true" ma:internalName="SourceTitle" ma:readOnly="false">
      <xsd:simpleType>
        <xsd:restriction base="dms:Text"/>
      </xsd:simpleType>
    </xsd:element>
    <xsd:element name="CSXSubmissionDate" ma:index="119" nillable="true" ma:displayName="Submission Date" ma:default="" ma:internalName="CSXSubmissionDate" ma:readOnly="false">
      <xsd:simpleType>
        <xsd:restriction base="dms:DateTime"/>
      </xsd:simpleType>
    </xsd:element>
    <xsd:element name="SubmitterId" ma:index="120" nillable="true" ma:displayName="Submitter ID" ma:default="" ma:internalName="SubmitterId" ma:readOnly="false">
      <xsd:simpleType>
        <xsd:restriction base="dms:Text"/>
      </xsd:simpleType>
    </xsd:element>
    <xsd:element name="TaxCatchAll" ma:index="121" nillable="true" ma:displayName="Taxonomy Catch All Column" ma:hidden="true" ma:list="{72161567-9e55-4761-b65c-3c8149bfc4ca}" ma:internalName="TaxCatchAll" ma:showField="CatchAllData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2" nillable="true" ma:displayName="Taxonomy Catch All Column1" ma:hidden="true" ma:list="{72161567-9e55-4761-b65c-3c8149bfc4ca}" ma:internalName="TaxCatchAllLabel" ma:readOnly="true" ma:showField="CatchAllDataLabel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emplateStatus" ma:index="123" nillable="true" ma:displayName="Template Status" ma:default="" ma:internalName="TemplateStatus">
      <xsd:simpleType>
        <xsd:restriction base="dms:Unknown"/>
      </xsd:simpleType>
    </xsd:element>
    <xsd:element name="TemplateTemplateType" ma:index="124" nillable="true" ma:displayName="Template Type" ma:default="" ma:internalName="TemplateTemplateType">
      <xsd:simpleType>
        <xsd:restriction base="dms:Unknown"/>
      </xsd:simpleType>
    </xsd:element>
    <xsd:element name="ThumbnailAssetId" ma:index="125" nillable="true" ma:displayName="Thumbnail Image Asset" ma:default="" ma:internalName="ThumbnailAssetId" ma:readOnly="false">
      <xsd:simpleType>
        <xsd:restriction base="dms:Text"/>
      </xsd:simpleType>
    </xsd:element>
    <xsd:element name="TimesCloned" ma:index="126" nillable="true" ma:displayName="Times Cloned" ma:default="" ma:internalName="TimesCloned" ma:readOnly="false">
      <xsd:simpleType>
        <xsd:restriction base="dms:Number"/>
      </xsd:simpleType>
    </xsd:element>
    <xsd:element name="TrustLevel" ma:index="128" nillable="true" ma:displayName="Trust Level" ma:default="1 Microsoft Managed Content" ma:internalName="TrustLevel" ma:readOnly="false">
      <xsd:simpleType>
        <xsd:restriction base="dms:Unknown"/>
      </xsd:simpleType>
    </xsd:element>
    <xsd:element name="UALocComments" ma:index="129" nillable="true" ma:displayName="UA Loc Comments" ma:default="" ma:internalName="UALocComments" ma:readOnly="false">
      <xsd:simpleType>
        <xsd:restriction base="dms:Note"/>
      </xsd:simpleType>
    </xsd:element>
    <xsd:element name="UALocRecommendation" ma:index="130" nillable="true" ma:displayName="UA Loc Recommendation" ma:default="Localize" ma:internalName="UALocRecommendation" ma:readOnly="false">
      <xsd:simpleType>
        <xsd:restriction base="dms:Choice">
          <xsd:enumeration value="Localize"/>
          <xsd:enumeration value="Never Localize"/>
          <xsd:enumeration value="Priority Localize"/>
        </xsd:restriction>
      </xsd:simpleType>
    </xsd:element>
    <xsd:element name="UANotes" ma:index="131" nillable="true" ma:displayName="UA Notes" ma:default="" ma:internalName="UANotes" ma:readOnly="false">
      <xsd:simpleType>
        <xsd:restriction base="dms:Note"/>
      </xsd:simpleType>
    </xsd:element>
    <xsd:element name="TPAppVersion" ma:index="132" nillable="true" ma:displayName="Version" ma:default="" ma:internalName="TPAppVersion">
      <xsd:simpleType>
        <xsd:restriction base="dms:Text"/>
      </xsd:simpleType>
    </xsd:element>
    <xsd:element name="VoteCount" ma:index="133" nillable="true" ma:displayName="Vote Count" ma:default="" ma:internalName="VoteCount" ma:readOnly="fals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0b64b53-fba7-43ca-b952-90e5e74773dd" elementFormDefault="qualified">
    <xsd:import namespace="http://schemas.microsoft.com/office/2006/documentManagement/types"/>
    <xsd:import namespace="http://schemas.microsoft.com/office/infopath/2007/PartnerControls"/>
    <xsd:element name="Description0" ma:index="134" nillable="true" ma:displayName="Description" ma:internalName="Description0">
      <xsd:simpleType>
        <xsd:restriction base="dms:Note"/>
      </xsd:simpleType>
    </xsd:element>
    <xsd:element name="Component0" ma:index="135" nillable="true" ma:displayName="Component" ma:internalName="Component0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2" ma:displayName="Content Type"/>
        <xsd:element ref="dc:title" minOccurs="0" maxOccurs="1" ma:index="12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8480B7C-74B5-4356-BE3E-F349192742C6}"/>
</file>

<file path=customXml/itemProps2.xml><?xml version="1.0" encoding="utf-8"?>
<ds:datastoreItem xmlns:ds="http://schemas.openxmlformats.org/officeDocument/2006/customXml" ds:itemID="{2CD552CE-B979-4BDB-9FB1-264C1B806DC7}"/>
</file>

<file path=customXml/itemProps3.xml><?xml version="1.0" encoding="utf-8"?>
<ds:datastoreItem xmlns:ds="http://schemas.openxmlformats.org/officeDocument/2006/customXml" ds:itemID="{CACF811D-0095-4769-AC25-69635F1DCC4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4</vt:i4>
      </vt:variant>
    </vt:vector>
  </HeadingPairs>
  <TitlesOfParts>
    <vt:vector size="6" baseType="lpstr">
      <vt:lpstr>项目日程表</vt:lpstr>
      <vt:lpstr>计算</vt:lpstr>
      <vt:lpstr>StartDate</vt:lpstr>
      <vt:lpstr>StartDateWindow</vt:lpstr>
      <vt:lpstr>WindowDays</vt:lpstr>
      <vt:lpstr>WindowOffset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2011-09-08T16:30:30Z</dcterms:created>
  <dcterms:modified xsi:type="dcterms:W3CDTF">2012-09-26T10:51:30Z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0x0101008D8B3457135D67479991424C624CBB4704002439B9162B2E88498A324BEFF3815221</vt:lpwstr>
  </property>
  <property fmtid="{D5CDD505-2E9C-101B-9397-08002B2CF9AE}" pid="3" name="HiddenCategoryTags">
    <vt:lpwstr/>
  </property>
  <property fmtid="{D5CDD505-2E9C-101B-9397-08002B2CF9AE}" pid="4" name="InternalTags">
    <vt:lpwstr/>
  </property>
  <property fmtid="{D5CDD505-2E9C-101B-9397-08002B2CF9AE}" pid="5" name="FeatureTags">
    <vt:lpwstr/>
  </property>
  <property fmtid="{D5CDD505-2E9C-101B-9397-08002B2CF9AE}" pid="6" name="LocalizationTags">
    <vt:lpwstr/>
  </property>
  <property fmtid="{D5CDD505-2E9C-101B-9397-08002B2CF9AE}" pid="7" name="CategoryTags">
    <vt:lpwstr/>
  </property>
  <property fmtid="{D5CDD505-2E9C-101B-9397-08002B2CF9AE}" pid="8" name="ScenarioTags">
    <vt:lpwstr/>
  </property>
  <property fmtid="{D5CDD505-2E9C-101B-9397-08002B2CF9AE}" pid="9" name="CategoryTagsTaxHTField0">
    <vt:lpwstr/>
  </property>
  <property fmtid="{D5CDD505-2E9C-101B-9397-08002B2CF9AE}" pid="10" name="CampaignTags">
    <vt:lpwstr/>
  </property>
  <property fmtid="{D5CDD505-2E9C-101B-9397-08002B2CF9AE}" pid="11" name="HiddenCategoryTagsTaxHTField0">
    <vt:lpwstr/>
  </property>
</Properties>
</file>