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ZH-CN\Desktop\"/>
    </mc:Choice>
  </mc:AlternateContent>
  <bookViews>
    <workbookView xWindow="0" yWindow="0" windowWidth="28800" windowHeight="11715"/>
  </bookViews>
  <sheets>
    <sheet name="项目日程表" sheetId="1" r:id="rId1"/>
    <sheet name="排序后的项目日期" sheetId="2" state="hidden" r:id="rId2"/>
  </sheets>
  <definedNames>
    <definedName name="ColumnTitle1">ProjectDetails[[#Headers],[日期]]</definedName>
    <definedName name="_xlnm.Print_Titles" localSheetId="0">项目日程表!$4:$4</definedName>
    <definedName name="Project_last_entry">排序后的项目日期!$C$5</definedName>
    <definedName name="Project_start_row">排序后的项目日期!$C$4</definedName>
    <definedName name="项目结束" localSheetId="1">IFERROR(DATE(YEAR(VLOOKUP(1,SortedTimeline[],2,FALSE)),12,31),DATE(YEAR(TODAY()),12,31))</definedName>
  </definedNames>
  <calcPr calcId="162913"/>
</workbook>
</file>

<file path=xl/calcChain.xml><?xml version="1.0" encoding="utf-8"?>
<calcChain xmlns="http://schemas.openxmlformats.org/spreadsheetml/2006/main">
  <c r="C4" i="2" l="1"/>
  <c r="B16" i="1" l="1"/>
  <c r="E16" i="1" s="1"/>
  <c r="B15" i="1"/>
  <c r="E15" i="1" s="1"/>
  <c r="B14" i="1"/>
  <c r="E14" i="1" s="1"/>
  <c r="B13" i="1"/>
  <c r="E13" i="1" s="1"/>
  <c r="B12" i="1"/>
  <c r="E12" i="1" s="1"/>
  <c r="B11" i="1"/>
  <c r="E11" i="1" s="1"/>
  <c r="B10" i="1"/>
  <c r="E10" i="1" s="1"/>
  <c r="B9" i="1"/>
  <c r="E9" i="1" s="1"/>
  <c r="B8" i="1"/>
  <c r="E8" i="1" s="1"/>
  <c r="B7" i="1"/>
  <c r="E7" i="1" s="1"/>
  <c r="B6" i="1"/>
  <c r="E6" i="1" s="1"/>
  <c r="B5" i="1"/>
  <c r="E5" i="1" s="1"/>
  <c r="C5" i="2" l="1"/>
  <c r="J5" i="2" l="1"/>
  <c r="J6" i="2" s="1"/>
  <c r="J7" i="2" s="1"/>
  <c r="M5" i="2" l="1"/>
  <c r="G6" i="2"/>
  <c r="H6" i="2"/>
  <c r="H5" i="2"/>
  <c r="I6" i="2"/>
  <c r="G5" i="2"/>
  <c r="I5" i="2"/>
  <c r="H7" i="2"/>
  <c r="G7" i="2"/>
  <c r="J8" i="2"/>
  <c r="I7" i="2"/>
  <c r="M6" i="2"/>
  <c r="H8" i="2" l="1"/>
  <c r="G8" i="2"/>
  <c r="J9" i="2"/>
  <c r="I8" i="2"/>
  <c r="M7" i="2"/>
  <c r="H9" i="2" l="1"/>
  <c r="G9" i="2"/>
  <c r="J10" i="2"/>
  <c r="I9" i="2"/>
  <c r="M8" i="2"/>
  <c r="H10" i="2" l="1"/>
  <c r="G10" i="2"/>
  <c r="J11" i="2"/>
  <c r="I10" i="2"/>
  <c r="M9" i="2"/>
  <c r="H11" i="2" l="1"/>
  <c r="G11" i="2"/>
  <c r="J12" i="2"/>
  <c r="I11" i="2"/>
  <c r="M10" i="2"/>
  <c r="H12" i="2" l="1"/>
  <c r="G12" i="2"/>
  <c r="J13" i="2"/>
  <c r="I12" i="2"/>
  <c r="M11" i="2"/>
  <c r="H13" i="2" l="1"/>
  <c r="G13" i="2"/>
  <c r="J14" i="2"/>
  <c r="I13" i="2"/>
  <c r="M12" i="2"/>
  <c r="H14" i="2" l="1"/>
  <c r="G14" i="2"/>
  <c r="J15" i="2"/>
  <c r="I14" i="2"/>
  <c r="M13" i="2"/>
  <c r="H15" i="2" l="1"/>
  <c r="G15" i="2"/>
  <c r="J16" i="2"/>
  <c r="I15" i="2"/>
  <c r="M14" i="2"/>
  <c r="H16" i="2" l="1"/>
  <c r="G16" i="2"/>
  <c r="J17" i="2"/>
  <c r="I16" i="2"/>
  <c r="M15" i="2"/>
  <c r="H17" i="2" l="1"/>
  <c r="G17" i="2"/>
  <c r="J18" i="2"/>
  <c r="I17" i="2"/>
  <c r="M16" i="2"/>
  <c r="H18" i="2" l="1"/>
  <c r="G18" i="2"/>
  <c r="J19" i="2"/>
  <c r="I18" i="2"/>
  <c r="M17" i="2"/>
  <c r="H19" i="2" l="1"/>
  <c r="G19" i="2"/>
  <c r="J20" i="2"/>
  <c r="I19" i="2"/>
  <c r="M18" i="2"/>
  <c r="F18" i="2"/>
  <c r="H20" i="2" l="1"/>
  <c r="G20" i="2"/>
  <c r="J21" i="2"/>
  <c r="I20" i="2"/>
  <c r="M19" i="2"/>
  <c r="H21" i="2" l="1"/>
  <c r="G21" i="2"/>
  <c r="J22" i="2"/>
  <c r="I21" i="2"/>
  <c r="M20" i="2"/>
  <c r="F19" i="2"/>
  <c r="H22" i="2" l="1"/>
  <c r="G22" i="2"/>
  <c r="J23" i="2"/>
  <c r="I22" i="2"/>
  <c r="F20" i="2"/>
  <c r="M21" i="2"/>
  <c r="H23" i="2" l="1"/>
  <c r="G23" i="2"/>
  <c r="J24" i="2"/>
  <c r="I23" i="2"/>
  <c r="F21" i="2"/>
  <c r="M22" i="2"/>
  <c r="F22" i="2"/>
  <c r="H24" i="2" l="1"/>
  <c r="G24" i="2"/>
  <c r="J25" i="2"/>
  <c r="I24" i="2"/>
  <c r="M23" i="2"/>
  <c r="F23" i="2"/>
  <c r="H25" i="2" l="1"/>
  <c r="G25" i="2"/>
  <c r="J26" i="2"/>
  <c r="I25" i="2"/>
  <c r="M24" i="2"/>
  <c r="F24" i="2"/>
  <c r="H26" i="2" l="1"/>
  <c r="G26" i="2"/>
  <c r="J27" i="2"/>
  <c r="I26" i="2"/>
  <c r="M25" i="2"/>
  <c r="F25" i="2"/>
  <c r="H27" i="2" l="1"/>
  <c r="G27" i="2"/>
  <c r="J28" i="2"/>
  <c r="I27" i="2"/>
  <c r="M26" i="2"/>
  <c r="F26" i="2"/>
  <c r="H28" i="2" l="1"/>
  <c r="G28" i="2"/>
  <c r="J29" i="2"/>
  <c r="I28" i="2"/>
  <c r="M27" i="2"/>
  <c r="F27" i="2"/>
  <c r="H29" i="2" l="1"/>
  <c r="G29" i="2"/>
  <c r="J30" i="2"/>
  <c r="I29" i="2"/>
  <c r="M28" i="2"/>
  <c r="F28" i="2"/>
  <c r="H30" i="2" l="1"/>
  <c r="G30" i="2"/>
  <c r="J31" i="2"/>
  <c r="I30" i="2"/>
  <c r="M29" i="2"/>
  <c r="F29" i="2"/>
  <c r="H31" i="2" l="1"/>
  <c r="G31" i="2"/>
  <c r="J32" i="2"/>
  <c r="I31" i="2"/>
  <c r="M30" i="2"/>
  <c r="F30" i="2"/>
  <c r="H32" i="2" l="1"/>
  <c r="G32" i="2"/>
  <c r="J33" i="2"/>
  <c r="I32" i="2"/>
  <c r="M31" i="2"/>
  <c r="F31" i="2"/>
  <c r="H33" i="2" l="1"/>
  <c r="G33" i="2"/>
  <c r="J34" i="2"/>
  <c r="I33" i="2"/>
  <c r="M32" i="2"/>
  <c r="F32" i="2"/>
  <c r="H34" i="2" l="1"/>
  <c r="G34" i="2"/>
  <c r="J35" i="2"/>
  <c r="I34" i="2"/>
  <c r="M33" i="2"/>
  <c r="F33" i="2"/>
  <c r="H35" i="2" l="1"/>
  <c r="G35" i="2"/>
  <c r="J36" i="2"/>
  <c r="I35" i="2"/>
  <c r="M34" i="2"/>
  <c r="F34" i="2"/>
  <c r="H36" i="2" l="1"/>
  <c r="G36" i="2"/>
  <c r="J37" i="2"/>
  <c r="I36" i="2"/>
  <c r="M35" i="2"/>
  <c r="F35" i="2"/>
  <c r="H37" i="2" l="1"/>
  <c r="G37" i="2"/>
  <c r="J38" i="2"/>
  <c r="I37" i="2"/>
  <c r="M36" i="2"/>
  <c r="F36" i="2"/>
  <c r="H38" i="2" l="1"/>
  <c r="G38" i="2"/>
  <c r="J39" i="2"/>
  <c r="I38" i="2"/>
  <c r="M37" i="2"/>
  <c r="F37" i="2"/>
  <c r="H39" i="2" l="1"/>
  <c r="G39" i="2"/>
  <c r="J40" i="2"/>
  <c r="I39" i="2"/>
  <c r="M38" i="2"/>
  <c r="F38" i="2"/>
  <c r="H40" i="2" l="1"/>
  <c r="G40" i="2"/>
  <c r="J41" i="2"/>
  <c r="I40" i="2"/>
  <c r="M39" i="2"/>
  <c r="F39" i="2"/>
  <c r="H41" i="2" l="1"/>
  <c r="G41" i="2"/>
  <c r="J42" i="2"/>
  <c r="I41" i="2"/>
  <c r="M40" i="2"/>
  <c r="F40" i="2"/>
  <c r="H42" i="2" l="1"/>
  <c r="G42" i="2"/>
  <c r="J43" i="2"/>
  <c r="I42" i="2"/>
  <c r="M41" i="2"/>
  <c r="F41" i="2"/>
  <c r="H43" i="2" l="1"/>
  <c r="G43" i="2"/>
  <c r="J44" i="2"/>
  <c r="I43" i="2"/>
  <c r="M42" i="2"/>
  <c r="F42" i="2"/>
  <c r="H44" i="2" l="1"/>
  <c r="G44" i="2"/>
  <c r="J45" i="2"/>
  <c r="I44" i="2"/>
  <c r="M43" i="2"/>
  <c r="F43" i="2"/>
  <c r="H45" i="2" l="1"/>
  <c r="G45" i="2"/>
  <c r="J46" i="2"/>
  <c r="I45" i="2"/>
  <c r="M44" i="2"/>
  <c r="F44" i="2"/>
  <c r="H46" i="2" l="1"/>
  <c r="G46" i="2"/>
  <c r="J47" i="2"/>
  <c r="I46" i="2"/>
  <c r="M45" i="2"/>
  <c r="F45" i="2"/>
  <c r="H47" i="2" l="1"/>
  <c r="G47" i="2"/>
  <c r="J48" i="2"/>
  <c r="I47" i="2"/>
  <c r="M46" i="2"/>
  <c r="F46" i="2"/>
  <c r="H48" i="2" l="1"/>
  <c r="G48" i="2"/>
  <c r="J49" i="2"/>
  <c r="I48" i="2"/>
  <c r="M47" i="2"/>
  <c r="F47" i="2"/>
  <c r="H49" i="2" l="1"/>
  <c r="G49" i="2"/>
  <c r="J50" i="2"/>
  <c r="I49" i="2"/>
  <c r="M48" i="2"/>
  <c r="F48" i="2"/>
  <c r="H50" i="2" l="1"/>
  <c r="G50" i="2"/>
  <c r="J51" i="2"/>
  <c r="I50" i="2"/>
  <c r="M49" i="2"/>
  <c r="F49" i="2"/>
  <c r="H51" i="2" l="1"/>
  <c r="G51" i="2"/>
  <c r="J52" i="2"/>
  <c r="I51" i="2"/>
  <c r="M50" i="2"/>
  <c r="F50" i="2"/>
  <c r="H52" i="2" l="1"/>
  <c r="G52" i="2"/>
  <c r="J53" i="2"/>
  <c r="I52" i="2"/>
  <c r="M51" i="2"/>
  <c r="F51" i="2"/>
  <c r="H53" i="2" l="1"/>
  <c r="G53" i="2"/>
  <c r="J54" i="2"/>
  <c r="I53" i="2"/>
  <c r="M52" i="2"/>
  <c r="F52" i="2"/>
  <c r="H54" i="2" l="1"/>
  <c r="G54" i="2"/>
  <c r="J55" i="2"/>
  <c r="I54" i="2"/>
  <c r="M53" i="2"/>
  <c r="F53" i="2"/>
  <c r="H55" i="2" l="1"/>
  <c r="G55" i="2"/>
  <c r="J56" i="2"/>
  <c r="I55" i="2"/>
  <c r="M54" i="2"/>
  <c r="F54" i="2"/>
  <c r="H56" i="2" l="1"/>
  <c r="G56" i="2"/>
  <c r="J57" i="2"/>
  <c r="I56" i="2"/>
  <c r="M55" i="2"/>
  <c r="F55" i="2"/>
  <c r="H57" i="2" l="1"/>
  <c r="G57" i="2"/>
  <c r="J58" i="2"/>
  <c r="I57" i="2"/>
  <c r="M56" i="2"/>
  <c r="F56" i="2"/>
  <c r="H58" i="2" l="1"/>
  <c r="G58" i="2"/>
  <c r="J59" i="2"/>
  <c r="I58" i="2"/>
  <c r="M57" i="2"/>
  <c r="F57" i="2"/>
  <c r="H59" i="2" l="1"/>
  <c r="G59" i="2"/>
  <c r="J60" i="2"/>
  <c r="I59" i="2"/>
  <c r="M58" i="2"/>
  <c r="F58" i="2"/>
  <c r="H60" i="2" l="1"/>
  <c r="G60" i="2"/>
  <c r="J61" i="2"/>
  <c r="I60" i="2"/>
  <c r="M59" i="2"/>
  <c r="F59" i="2"/>
  <c r="H61" i="2" l="1"/>
  <c r="G61" i="2"/>
  <c r="J62" i="2"/>
  <c r="I61" i="2"/>
  <c r="M60" i="2"/>
  <c r="F60" i="2"/>
  <c r="H62" i="2" l="1"/>
  <c r="G62" i="2"/>
  <c r="J63" i="2"/>
  <c r="I62" i="2"/>
  <c r="M61" i="2"/>
  <c r="F61" i="2"/>
  <c r="H63" i="2" l="1"/>
  <c r="G63" i="2"/>
  <c r="J64" i="2"/>
  <c r="I63" i="2"/>
  <c r="M62" i="2"/>
  <c r="F62" i="2"/>
  <c r="H64" i="2" l="1"/>
  <c r="G64" i="2"/>
  <c r="J65" i="2"/>
  <c r="I64" i="2"/>
  <c r="M63" i="2"/>
  <c r="F63" i="2"/>
  <c r="H65" i="2" l="1"/>
  <c r="G65" i="2"/>
  <c r="J66" i="2"/>
  <c r="I65" i="2"/>
  <c r="M64" i="2"/>
  <c r="F64" i="2"/>
  <c r="H66" i="2" l="1"/>
  <c r="G66" i="2"/>
  <c r="J67" i="2"/>
  <c r="I66" i="2"/>
  <c r="M65" i="2"/>
  <c r="F65" i="2"/>
  <c r="H67" i="2" l="1"/>
  <c r="G67" i="2"/>
  <c r="J68" i="2"/>
  <c r="I67" i="2"/>
  <c r="M66" i="2"/>
  <c r="F66" i="2"/>
  <c r="H68" i="2" l="1"/>
  <c r="G68" i="2"/>
  <c r="J69" i="2"/>
  <c r="I68" i="2"/>
  <c r="M67" i="2"/>
  <c r="F67" i="2"/>
  <c r="H69" i="2" l="1"/>
  <c r="G69" i="2"/>
  <c r="J70" i="2"/>
  <c r="I69" i="2"/>
  <c r="M68" i="2"/>
  <c r="F68" i="2"/>
  <c r="H70" i="2" l="1"/>
  <c r="G70" i="2"/>
  <c r="J71" i="2"/>
  <c r="I70" i="2"/>
  <c r="M69" i="2"/>
  <c r="F69" i="2"/>
  <c r="H71" i="2" l="1"/>
  <c r="G71" i="2"/>
  <c r="J72" i="2"/>
  <c r="I71" i="2"/>
  <c r="M70" i="2"/>
  <c r="F70" i="2"/>
  <c r="H72" i="2" l="1"/>
  <c r="G72" i="2"/>
  <c r="J73" i="2"/>
  <c r="I72" i="2"/>
  <c r="M71" i="2"/>
  <c r="F71" i="2"/>
  <c r="H73" i="2" l="1"/>
  <c r="G73" i="2"/>
  <c r="J74" i="2"/>
  <c r="I73" i="2"/>
  <c r="M72" i="2"/>
  <c r="F72" i="2"/>
  <c r="H74" i="2" l="1"/>
  <c r="G74" i="2"/>
  <c r="J75" i="2"/>
  <c r="I74" i="2"/>
  <c r="M73" i="2"/>
  <c r="F73" i="2"/>
  <c r="H75" i="2" l="1"/>
  <c r="G75" i="2"/>
  <c r="J76" i="2"/>
  <c r="I75" i="2"/>
  <c r="M74" i="2"/>
  <c r="F74" i="2"/>
  <c r="H76" i="2" l="1"/>
  <c r="G76" i="2"/>
  <c r="J77" i="2"/>
  <c r="I76" i="2"/>
  <c r="M75" i="2"/>
  <c r="F75" i="2"/>
  <c r="H77" i="2" l="1"/>
  <c r="G77" i="2"/>
  <c r="J78" i="2"/>
  <c r="I77" i="2"/>
  <c r="M76" i="2"/>
  <c r="F76" i="2"/>
  <c r="H78" i="2" l="1"/>
  <c r="G78" i="2"/>
  <c r="J79" i="2"/>
  <c r="I78" i="2"/>
  <c r="M77" i="2"/>
  <c r="F77" i="2"/>
  <c r="H79" i="2" l="1"/>
  <c r="G79" i="2"/>
  <c r="J80" i="2"/>
  <c r="I79" i="2"/>
  <c r="M78" i="2"/>
  <c r="F78" i="2"/>
  <c r="H80" i="2" l="1"/>
  <c r="G80" i="2"/>
  <c r="J81" i="2"/>
  <c r="I80" i="2"/>
  <c r="M79" i="2"/>
  <c r="F79" i="2"/>
  <c r="H81" i="2" l="1"/>
  <c r="G81" i="2"/>
  <c r="J82" i="2"/>
  <c r="I81" i="2"/>
  <c r="M80" i="2"/>
  <c r="F80" i="2"/>
  <c r="H82" i="2" l="1"/>
  <c r="G82" i="2"/>
  <c r="J83" i="2"/>
  <c r="I82" i="2"/>
  <c r="M81" i="2"/>
  <c r="F81" i="2"/>
  <c r="H83" i="2" l="1"/>
  <c r="G83" i="2"/>
  <c r="J84" i="2"/>
  <c r="I83" i="2"/>
  <c r="M82" i="2"/>
  <c r="F82" i="2"/>
  <c r="H84" i="2" l="1"/>
  <c r="G84" i="2"/>
  <c r="J85" i="2"/>
  <c r="I84" i="2"/>
  <c r="M83" i="2"/>
  <c r="F83" i="2"/>
  <c r="H85" i="2" l="1"/>
  <c r="G85" i="2"/>
  <c r="J86" i="2"/>
  <c r="I85" i="2"/>
  <c r="M84" i="2"/>
  <c r="F84" i="2"/>
  <c r="H86" i="2" l="1"/>
  <c r="G86" i="2"/>
  <c r="J87" i="2"/>
  <c r="I86" i="2"/>
  <c r="M85" i="2"/>
  <c r="F85" i="2"/>
  <c r="H87" i="2" l="1"/>
  <c r="G87" i="2"/>
  <c r="J88" i="2"/>
  <c r="I87" i="2"/>
  <c r="M86" i="2"/>
  <c r="F86" i="2"/>
  <c r="H88" i="2" l="1"/>
  <c r="G88" i="2"/>
  <c r="J89" i="2"/>
  <c r="I88" i="2"/>
  <c r="M87" i="2"/>
  <c r="F87" i="2"/>
  <c r="H89" i="2" l="1"/>
  <c r="G89" i="2"/>
  <c r="J90" i="2"/>
  <c r="I89" i="2"/>
  <c r="M88" i="2"/>
  <c r="F88" i="2"/>
  <c r="H90" i="2" l="1"/>
  <c r="G90" i="2"/>
  <c r="J91" i="2"/>
  <c r="I90" i="2"/>
  <c r="M89" i="2"/>
  <c r="F89" i="2"/>
  <c r="H91" i="2" l="1"/>
  <c r="G91" i="2"/>
  <c r="J92" i="2"/>
  <c r="I91" i="2"/>
  <c r="M90" i="2"/>
  <c r="F90" i="2"/>
  <c r="H92" i="2" l="1"/>
  <c r="G92" i="2"/>
  <c r="J93" i="2"/>
  <c r="I92" i="2"/>
  <c r="M91" i="2"/>
  <c r="F91" i="2"/>
  <c r="H93" i="2" l="1"/>
  <c r="G93" i="2"/>
  <c r="J94" i="2"/>
  <c r="I93" i="2"/>
  <c r="M92" i="2"/>
  <c r="F92" i="2"/>
  <c r="H94" i="2" l="1"/>
  <c r="G94" i="2"/>
  <c r="J95" i="2"/>
  <c r="I94" i="2"/>
  <c r="M93" i="2"/>
  <c r="F93" i="2"/>
  <c r="H95" i="2" l="1"/>
  <c r="G95" i="2"/>
  <c r="J96" i="2"/>
  <c r="I95" i="2"/>
  <c r="M94" i="2"/>
  <c r="F94" i="2"/>
  <c r="H96" i="2" l="1"/>
  <c r="G96" i="2"/>
  <c r="J97" i="2"/>
  <c r="I96" i="2"/>
  <c r="M95" i="2"/>
  <c r="F95" i="2"/>
  <c r="H97" i="2" l="1"/>
  <c r="G97" i="2"/>
  <c r="J98" i="2"/>
  <c r="I97" i="2"/>
  <c r="M96" i="2"/>
  <c r="F96" i="2"/>
  <c r="H98" i="2" l="1"/>
  <c r="G98" i="2"/>
  <c r="J99" i="2"/>
  <c r="I98" i="2"/>
  <c r="M97" i="2"/>
  <c r="F97" i="2"/>
  <c r="H99" i="2" l="1"/>
  <c r="G99" i="2"/>
  <c r="J100" i="2"/>
  <c r="I99" i="2"/>
  <c r="M98" i="2"/>
  <c r="F98" i="2"/>
  <c r="H100" i="2" l="1"/>
  <c r="G100" i="2"/>
  <c r="J101" i="2"/>
  <c r="I100" i="2"/>
  <c r="M99" i="2"/>
  <c r="F99" i="2"/>
  <c r="H101" i="2" l="1"/>
  <c r="G101" i="2"/>
  <c r="J102" i="2"/>
  <c r="I101" i="2"/>
  <c r="M100" i="2"/>
  <c r="F100" i="2"/>
  <c r="H102" i="2" l="1"/>
  <c r="G102" i="2"/>
  <c r="J103" i="2"/>
  <c r="I102" i="2"/>
  <c r="M101" i="2"/>
  <c r="F101" i="2"/>
  <c r="H103" i="2" l="1"/>
  <c r="G103" i="2"/>
  <c r="J104" i="2"/>
  <c r="I103" i="2"/>
  <c r="M102" i="2"/>
  <c r="F102" i="2"/>
  <c r="H104" i="2" l="1"/>
  <c r="G104" i="2"/>
  <c r="J105" i="2"/>
  <c r="I104" i="2"/>
  <c r="M103" i="2"/>
  <c r="F103" i="2"/>
  <c r="H105" i="2" l="1"/>
  <c r="G105" i="2"/>
  <c r="J106" i="2"/>
  <c r="I105" i="2"/>
  <c r="M104" i="2"/>
  <c r="F104" i="2"/>
  <c r="H106" i="2" l="1"/>
  <c r="G106" i="2"/>
  <c r="J107" i="2"/>
  <c r="I106" i="2"/>
  <c r="M105" i="2"/>
  <c r="F105" i="2"/>
  <c r="H107" i="2" l="1"/>
  <c r="G107" i="2"/>
  <c r="J108" i="2"/>
  <c r="I107" i="2"/>
  <c r="M106" i="2"/>
  <c r="F106" i="2"/>
  <c r="H108" i="2" l="1"/>
  <c r="G108" i="2"/>
  <c r="J109" i="2"/>
  <c r="I108" i="2"/>
  <c r="M107" i="2"/>
  <c r="F107" i="2"/>
  <c r="H109" i="2" l="1"/>
  <c r="G109" i="2"/>
  <c r="J110" i="2"/>
  <c r="I109" i="2"/>
  <c r="M108" i="2"/>
  <c r="F108" i="2"/>
  <c r="H110" i="2" l="1"/>
  <c r="G110" i="2"/>
  <c r="J111" i="2"/>
  <c r="I110" i="2"/>
  <c r="M109" i="2"/>
  <c r="F109" i="2"/>
  <c r="H111" i="2" l="1"/>
  <c r="G111" i="2"/>
  <c r="J112" i="2"/>
  <c r="I111" i="2"/>
  <c r="M110" i="2"/>
  <c r="F110" i="2"/>
  <c r="H112" i="2" l="1"/>
  <c r="G112" i="2"/>
  <c r="J113" i="2"/>
  <c r="I112" i="2"/>
  <c r="M111" i="2"/>
  <c r="F111" i="2"/>
  <c r="H113" i="2" l="1"/>
  <c r="G113" i="2"/>
  <c r="J114" i="2"/>
  <c r="I113" i="2"/>
  <c r="M112" i="2"/>
  <c r="F112" i="2"/>
  <c r="H114" i="2" l="1"/>
  <c r="G114" i="2"/>
  <c r="J115" i="2"/>
  <c r="I114" i="2"/>
  <c r="M113" i="2"/>
  <c r="F113" i="2"/>
  <c r="H115" i="2" l="1"/>
  <c r="G115" i="2"/>
  <c r="J116" i="2"/>
  <c r="I115" i="2"/>
  <c r="M114" i="2"/>
  <c r="F114" i="2"/>
  <c r="H116" i="2" l="1"/>
  <c r="G116" i="2"/>
  <c r="J117" i="2"/>
  <c r="I116" i="2"/>
  <c r="M115" i="2"/>
  <c r="F115" i="2"/>
  <c r="H117" i="2" l="1"/>
  <c r="G117" i="2"/>
  <c r="J118" i="2"/>
  <c r="I117" i="2"/>
  <c r="M116" i="2"/>
  <c r="F116" i="2"/>
  <c r="H118" i="2" l="1"/>
  <c r="G118" i="2"/>
  <c r="J119" i="2"/>
  <c r="I118" i="2"/>
  <c r="M117" i="2"/>
  <c r="F117" i="2"/>
  <c r="H119" i="2" l="1"/>
  <c r="G119" i="2"/>
  <c r="J120" i="2"/>
  <c r="I119" i="2"/>
  <c r="M118" i="2"/>
  <c r="F118" i="2"/>
  <c r="H120" i="2" l="1"/>
  <c r="G120" i="2"/>
  <c r="J121" i="2"/>
  <c r="I120" i="2"/>
  <c r="M119" i="2"/>
  <c r="F119" i="2"/>
  <c r="H121" i="2" l="1"/>
  <c r="G121" i="2"/>
  <c r="J122" i="2"/>
  <c r="I121" i="2"/>
  <c r="M120" i="2"/>
  <c r="F120" i="2"/>
  <c r="H122" i="2" l="1"/>
  <c r="G122" i="2"/>
  <c r="J123" i="2"/>
  <c r="I122" i="2"/>
  <c r="M121" i="2"/>
  <c r="F121" i="2"/>
  <c r="H123" i="2" l="1"/>
  <c r="G123" i="2"/>
  <c r="J124" i="2"/>
  <c r="I123" i="2"/>
  <c r="M122" i="2"/>
  <c r="F122" i="2"/>
  <c r="H124" i="2" l="1"/>
  <c r="G124" i="2"/>
  <c r="J125" i="2"/>
  <c r="I124" i="2"/>
  <c r="M123" i="2"/>
  <c r="F123" i="2"/>
  <c r="H125" i="2" l="1"/>
  <c r="G125" i="2"/>
  <c r="J126" i="2"/>
  <c r="I125" i="2"/>
  <c r="M124" i="2"/>
  <c r="F124" i="2"/>
  <c r="H126" i="2" l="1"/>
  <c r="G126" i="2"/>
  <c r="J127" i="2"/>
  <c r="I126" i="2"/>
  <c r="M125" i="2"/>
  <c r="F125" i="2"/>
  <c r="H127" i="2" l="1"/>
  <c r="G127" i="2"/>
  <c r="J128" i="2"/>
  <c r="I127" i="2"/>
  <c r="M126" i="2"/>
  <c r="F126" i="2"/>
  <c r="H128" i="2" l="1"/>
  <c r="G128" i="2"/>
  <c r="J129" i="2"/>
  <c r="I128" i="2"/>
  <c r="M127" i="2"/>
  <c r="F127" i="2"/>
  <c r="H129" i="2" l="1"/>
  <c r="G129" i="2"/>
  <c r="J130" i="2"/>
  <c r="I129" i="2"/>
  <c r="M128" i="2"/>
  <c r="F128" i="2"/>
  <c r="H130" i="2" l="1"/>
  <c r="G130" i="2"/>
  <c r="J131" i="2"/>
  <c r="I130" i="2"/>
  <c r="M129" i="2"/>
  <c r="F129" i="2"/>
  <c r="H131" i="2" l="1"/>
  <c r="G131" i="2"/>
  <c r="J132" i="2"/>
  <c r="I131" i="2"/>
  <c r="M130" i="2"/>
  <c r="F130" i="2"/>
  <c r="H132" i="2" l="1"/>
  <c r="G132" i="2"/>
  <c r="J133" i="2"/>
  <c r="I132" i="2"/>
  <c r="M131" i="2"/>
  <c r="F131" i="2"/>
  <c r="H133" i="2" l="1"/>
  <c r="G133" i="2"/>
  <c r="J134" i="2"/>
  <c r="I133" i="2"/>
  <c r="M132" i="2"/>
  <c r="F132" i="2"/>
  <c r="H134" i="2" l="1"/>
  <c r="G134" i="2"/>
  <c r="J135" i="2"/>
  <c r="I134" i="2"/>
  <c r="M133" i="2"/>
  <c r="F133" i="2"/>
  <c r="H135" i="2" l="1"/>
  <c r="G135" i="2"/>
  <c r="J136" i="2"/>
  <c r="I135" i="2"/>
  <c r="M134" i="2"/>
  <c r="F134" i="2"/>
  <c r="H136" i="2" l="1"/>
  <c r="G136" i="2"/>
  <c r="J137" i="2"/>
  <c r="I136" i="2"/>
  <c r="M135" i="2"/>
  <c r="F135" i="2"/>
  <c r="H137" i="2" l="1"/>
  <c r="G137" i="2"/>
  <c r="J138" i="2"/>
  <c r="I137" i="2"/>
  <c r="M136" i="2"/>
  <c r="F136" i="2"/>
  <c r="J139" i="2" l="1"/>
  <c r="H138" i="2"/>
  <c r="G138" i="2"/>
  <c r="I138" i="2"/>
  <c r="M137" i="2"/>
  <c r="F137" i="2"/>
  <c r="I139" i="2" l="1"/>
  <c r="H139" i="2"/>
  <c r="G139" i="2"/>
  <c r="J140" i="2"/>
  <c r="M138" i="2"/>
  <c r="F138" i="2"/>
  <c r="I140" i="2" l="1"/>
  <c r="H140" i="2"/>
  <c r="G140" i="2"/>
  <c r="J141" i="2"/>
  <c r="M139" i="2"/>
  <c r="F139" i="2"/>
  <c r="I141" i="2" l="1"/>
  <c r="H141" i="2"/>
  <c r="G141" i="2"/>
  <c r="J142" i="2"/>
  <c r="M140" i="2"/>
  <c r="F140" i="2"/>
  <c r="I142" i="2" l="1"/>
  <c r="H142" i="2"/>
  <c r="G142" i="2"/>
  <c r="J143" i="2"/>
  <c r="M141" i="2"/>
  <c r="F141" i="2"/>
  <c r="I143" i="2" l="1"/>
  <c r="H143" i="2"/>
  <c r="G143" i="2"/>
  <c r="J144" i="2"/>
  <c r="M142" i="2"/>
  <c r="F142" i="2"/>
  <c r="I144" i="2" l="1"/>
  <c r="H144" i="2"/>
  <c r="G144" i="2"/>
  <c r="J145" i="2"/>
  <c r="M143" i="2"/>
  <c r="F143" i="2"/>
  <c r="I145" i="2" l="1"/>
  <c r="H145" i="2"/>
  <c r="G145" i="2"/>
  <c r="J146" i="2"/>
  <c r="M144" i="2"/>
  <c r="F144" i="2"/>
  <c r="I146" i="2" l="1"/>
  <c r="H146" i="2"/>
  <c r="G146" i="2"/>
  <c r="J147" i="2"/>
  <c r="M145" i="2"/>
  <c r="F145" i="2"/>
  <c r="I147" i="2" l="1"/>
  <c r="H147" i="2"/>
  <c r="G147" i="2"/>
  <c r="J148" i="2"/>
  <c r="M146" i="2"/>
  <c r="F146" i="2"/>
  <c r="I148" i="2" l="1"/>
  <c r="H148" i="2"/>
  <c r="G148" i="2"/>
  <c r="J149" i="2"/>
  <c r="M147" i="2"/>
  <c r="F147" i="2"/>
  <c r="I149" i="2" l="1"/>
  <c r="H149" i="2"/>
  <c r="G149" i="2"/>
  <c r="J150" i="2"/>
  <c r="M148" i="2"/>
  <c r="F148" i="2"/>
  <c r="I150" i="2" l="1"/>
  <c r="H150" i="2"/>
  <c r="G150" i="2"/>
  <c r="J151" i="2"/>
  <c r="M149" i="2"/>
  <c r="F149" i="2"/>
  <c r="I151" i="2" l="1"/>
  <c r="H151" i="2"/>
  <c r="G151" i="2"/>
  <c r="J152" i="2"/>
  <c r="M150" i="2"/>
  <c r="F150" i="2"/>
  <c r="I152" i="2" l="1"/>
  <c r="H152" i="2"/>
  <c r="G152" i="2"/>
  <c r="J153" i="2"/>
  <c r="M151" i="2"/>
  <c r="F151" i="2"/>
  <c r="I153" i="2" l="1"/>
  <c r="H153" i="2"/>
  <c r="G153" i="2"/>
  <c r="J154" i="2"/>
  <c r="M152" i="2"/>
  <c r="F152" i="2"/>
  <c r="I154" i="2" l="1"/>
  <c r="H154" i="2"/>
  <c r="G154" i="2"/>
  <c r="J155" i="2"/>
  <c r="M153" i="2"/>
  <c r="F153" i="2"/>
  <c r="I155" i="2" l="1"/>
  <c r="H155" i="2"/>
  <c r="G155" i="2"/>
  <c r="J156" i="2"/>
  <c r="M154" i="2"/>
  <c r="F154" i="2"/>
  <c r="I156" i="2" l="1"/>
  <c r="H156" i="2"/>
  <c r="G156" i="2"/>
  <c r="J157" i="2"/>
  <c r="M155" i="2"/>
  <c r="F155" i="2"/>
  <c r="I157" i="2" l="1"/>
  <c r="H157" i="2"/>
  <c r="G157" i="2"/>
  <c r="J158" i="2"/>
  <c r="M156" i="2"/>
  <c r="F156" i="2"/>
  <c r="I158" i="2" l="1"/>
  <c r="H158" i="2"/>
  <c r="G158" i="2"/>
  <c r="J159" i="2"/>
  <c r="M157" i="2"/>
  <c r="F157" i="2"/>
  <c r="I159" i="2" l="1"/>
  <c r="H159" i="2"/>
  <c r="G159" i="2"/>
  <c r="J160" i="2"/>
  <c r="M158" i="2"/>
  <c r="F158" i="2"/>
  <c r="I160" i="2" l="1"/>
  <c r="H160" i="2"/>
  <c r="G160" i="2"/>
  <c r="J161" i="2"/>
  <c r="M159" i="2"/>
  <c r="F159" i="2"/>
  <c r="I161" i="2" l="1"/>
  <c r="H161" i="2"/>
  <c r="G161" i="2"/>
  <c r="J162" i="2"/>
  <c r="M160" i="2"/>
  <c r="F160" i="2"/>
  <c r="I162" i="2" l="1"/>
  <c r="H162" i="2"/>
  <c r="G162" i="2"/>
  <c r="J163" i="2"/>
  <c r="M161" i="2"/>
  <c r="F161" i="2"/>
  <c r="I163" i="2" l="1"/>
  <c r="H163" i="2"/>
  <c r="G163" i="2"/>
  <c r="J164" i="2"/>
  <c r="M162" i="2"/>
  <c r="F162" i="2"/>
  <c r="I164" i="2" l="1"/>
  <c r="H164" i="2"/>
  <c r="G164" i="2"/>
  <c r="J165" i="2"/>
  <c r="M163" i="2"/>
  <c r="F163" i="2"/>
  <c r="I165" i="2" l="1"/>
  <c r="H165" i="2"/>
  <c r="G165" i="2"/>
  <c r="J166" i="2"/>
  <c r="M164" i="2"/>
  <c r="F164" i="2"/>
  <c r="I166" i="2" l="1"/>
  <c r="H166" i="2"/>
  <c r="G166" i="2"/>
  <c r="J167" i="2"/>
  <c r="M165" i="2"/>
  <c r="F165" i="2"/>
  <c r="I167" i="2" l="1"/>
  <c r="H167" i="2"/>
  <c r="G167" i="2"/>
  <c r="J168" i="2"/>
  <c r="M166" i="2"/>
  <c r="F166" i="2"/>
  <c r="I168" i="2" l="1"/>
  <c r="H168" i="2"/>
  <c r="G168" i="2"/>
  <c r="J169" i="2"/>
  <c r="M167" i="2"/>
  <c r="F167" i="2"/>
  <c r="I169" i="2" l="1"/>
  <c r="H169" i="2"/>
  <c r="G169" i="2"/>
  <c r="J170" i="2"/>
  <c r="M168" i="2"/>
  <c r="F168" i="2"/>
  <c r="I170" i="2" l="1"/>
  <c r="H170" i="2"/>
  <c r="G170" i="2"/>
  <c r="J171" i="2"/>
  <c r="M169" i="2"/>
  <c r="F169" i="2"/>
  <c r="I171" i="2" l="1"/>
  <c r="H171" i="2"/>
  <c r="G171" i="2"/>
  <c r="J172" i="2"/>
  <c r="M170" i="2"/>
  <c r="F170" i="2"/>
  <c r="I172" i="2" l="1"/>
  <c r="H172" i="2"/>
  <c r="G172" i="2"/>
  <c r="J173" i="2"/>
  <c r="M171" i="2"/>
  <c r="F171" i="2"/>
  <c r="I173" i="2" l="1"/>
  <c r="H173" i="2"/>
  <c r="G173" i="2"/>
  <c r="J174" i="2"/>
  <c r="M172" i="2"/>
  <c r="F172" i="2"/>
  <c r="I174" i="2" l="1"/>
  <c r="H174" i="2"/>
  <c r="G174" i="2"/>
  <c r="J175" i="2"/>
  <c r="M173" i="2"/>
  <c r="F173" i="2"/>
  <c r="I175" i="2" l="1"/>
  <c r="H175" i="2"/>
  <c r="G175" i="2"/>
  <c r="J176" i="2"/>
  <c r="M174" i="2"/>
  <c r="F174" i="2"/>
  <c r="I176" i="2" l="1"/>
  <c r="H176" i="2"/>
  <c r="G176" i="2"/>
  <c r="J177" i="2"/>
  <c r="M175" i="2"/>
  <c r="F175" i="2"/>
  <c r="I177" i="2" l="1"/>
  <c r="H177" i="2"/>
  <c r="G177" i="2"/>
  <c r="J178" i="2"/>
  <c r="M176" i="2"/>
  <c r="F176" i="2"/>
  <c r="I178" i="2" l="1"/>
  <c r="H178" i="2"/>
  <c r="G178" i="2"/>
  <c r="J179" i="2"/>
  <c r="M177" i="2"/>
  <c r="F177" i="2"/>
  <c r="I179" i="2" l="1"/>
  <c r="H179" i="2"/>
  <c r="G179" i="2"/>
  <c r="J180" i="2"/>
  <c r="M178" i="2"/>
  <c r="F178" i="2"/>
  <c r="I180" i="2" l="1"/>
  <c r="H180" i="2"/>
  <c r="G180" i="2"/>
  <c r="J181" i="2"/>
  <c r="M179" i="2"/>
  <c r="F179" i="2"/>
  <c r="I181" i="2" l="1"/>
  <c r="H181" i="2"/>
  <c r="G181" i="2"/>
  <c r="J182" i="2"/>
  <c r="M180" i="2"/>
  <c r="F180" i="2"/>
  <c r="I182" i="2" l="1"/>
  <c r="H182" i="2"/>
  <c r="G182" i="2"/>
  <c r="J183" i="2"/>
  <c r="M181" i="2"/>
  <c r="F181" i="2"/>
  <c r="I183" i="2" l="1"/>
  <c r="H183" i="2"/>
  <c r="G183" i="2"/>
  <c r="J184" i="2"/>
  <c r="M182" i="2"/>
  <c r="F182" i="2"/>
  <c r="I184" i="2" l="1"/>
  <c r="H184" i="2"/>
  <c r="G184" i="2"/>
  <c r="J185" i="2"/>
  <c r="M183" i="2"/>
  <c r="F183" i="2"/>
  <c r="I185" i="2" l="1"/>
  <c r="H185" i="2"/>
  <c r="G185" i="2"/>
  <c r="J186" i="2"/>
  <c r="M184" i="2"/>
  <c r="F184" i="2"/>
  <c r="I186" i="2" l="1"/>
  <c r="H186" i="2"/>
  <c r="G186" i="2"/>
  <c r="J187" i="2"/>
  <c r="M185" i="2"/>
  <c r="F185" i="2"/>
  <c r="I187" i="2" l="1"/>
  <c r="H187" i="2"/>
  <c r="G187" i="2"/>
  <c r="J188" i="2"/>
  <c r="M186" i="2"/>
  <c r="F186" i="2"/>
  <c r="I188" i="2" l="1"/>
  <c r="H188" i="2"/>
  <c r="G188" i="2"/>
  <c r="J189" i="2"/>
  <c r="M187" i="2"/>
  <c r="F187" i="2"/>
  <c r="I189" i="2" l="1"/>
  <c r="H189" i="2"/>
  <c r="G189" i="2"/>
  <c r="J190" i="2"/>
  <c r="M188" i="2"/>
  <c r="F188" i="2"/>
  <c r="I190" i="2" l="1"/>
  <c r="H190" i="2"/>
  <c r="G190" i="2"/>
  <c r="J191" i="2"/>
  <c r="M189" i="2"/>
  <c r="F189" i="2"/>
  <c r="I191" i="2" l="1"/>
  <c r="H191" i="2"/>
  <c r="G191" i="2"/>
  <c r="J192" i="2"/>
  <c r="M190" i="2"/>
  <c r="F190" i="2"/>
  <c r="I192" i="2" l="1"/>
  <c r="H192" i="2"/>
  <c r="G192" i="2"/>
  <c r="J193" i="2"/>
  <c r="M191" i="2"/>
  <c r="F191" i="2"/>
  <c r="I193" i="2" l="1"/>
  <c r="H193" i="2"/>
  <c r="G193" i="2"/>
  <c r="J194" i="2"/>
  <c r="M192" i="2"/>
  <c r="F192" i="2"/>
  <c r="I194" i="2" l="1"/>
  <c r="H194" i="2"/>
  <c r="G194" i="2"/>
  <c r="J195" i="2"/>
  <c r="M193" i="2"/>
  <c r="F193" i="2"/>
  <c r="I195" i="2" l="1"/>
  <c r="H195" i="2"/>
  <c r="G195" i="2"/>
  <c r="J196" i="2"/>
  <c r="M194" i="2"/>
  <c r="F194" i="2"/>
  <c r="I196" i="2" l="1"/>
  <c r="H196" i="2"/>
  <c r="G196" i="2"/>
  <c r="J197" i="2"/>
  <c r="M195" i="2"/>
  <c r="F195" i="2"/>
  <c r="I197" i="2" l="1"/>
  <c r="H197" i="2"/>
  <c r="G197" i="2"/>
  <c r="J198" i="2"/>
  <c r="M196" i="2"/>
  <c r="F196" i="2"/>
  <c r="I198" i="2" l="1"/>
  <c r="H198" i="2"/>
  <c r="G198" i="2"/>
  <c r="J199" i="2"/>
  <c r="M197" i="2"/>
  <c r="F197" i="2"/>
  <c r="I199" i="2" l="1"/>
  <c r="H199" i="2"/>
  <c r="G199" i="2"/>
  <c r="J200" i="2"/>
  <c r="M198" i="2"/>
  <c r="F198" i="2"/>
  <c r="I200" i="2" l="1"/>
  <c r="H200" i="2"/>
  <c r="G200" i="2"/>
  <c r="J201" i="2"/>
  <c r="M199" i="2"/>
  <c r="F199" i="2"/>
  <c r="I201" i="2" l="1"/>
  <c r="H201" i="2"/>
  <c r="G201" i="2"/>
  <c r="J202" i="2"/>
  <c r="M200" i="2"/>
  <c r="F200" i="2"/>
  <c r="J203" i="2" l="1"/>
  <c r="I202" i="2"/>
  <c r="H202" i="2"/>
  <c r="G202" i="2"/>
  <c r="M201" i="2"/>
  <c r="F201" i="2"/>
  <c r="I203" i="2" l="1"/>
  <c r="H203" i="2"/>
  <c r="G203" i="2"/>
  <c r="J204" i="2"/>
  <c r="M202" i="2"/>
  <c r="F202" i="2"/>
  <c r="I204" i="2" l="1"/>
  <c r="H204" i="2"/>
  <c r="G204" i="2"/>
  <c r="J205" i="2"/>
  <c r="M203" i="2"/>
  <c r="F203" i="2"/>
  <c r="I205" i="2" l="1"/>
  <c r="H205" i="2"/>
  <c r="G205" i="2"/>
  <c r="J206" i="2"/>
  <c r="M204" i="2"/>
  <c r="F204" i="2"/>
  <c r="I206" i="2" l="1"/>
  <c r="H206" i="2"/>
  <c r="G206" i="2"/>
  <c r="J207" i="2"/>
  <c r="M205" i="2"/>
  <c r="F205" i="2"/>
  <c r="I207" i="2" l="1"/>
  <c r="H207" i="2"/>
  <c r="G207" i="2"/>
  <c r="J208" i="2"/>
  <c r="M206" i="2"/>
  <c r="F206" i="2"/>
  <c r="I208" i="2" l="1"/>
  <c r="H208" i="2"/>
  <c r="G208" i="2"/>
  <c r="J209" i="2"/>
  <c r="M207" i="2"/>
  <c r="F207" i="2"/>
  <c r="I209" i="2" l="1"/>
  <c r="H209" i="2"/>
  <c r="G209" i="2"/>
  <c r="J210" i="2"/>
  <c r="M208" i="2"/>
  <c r="F208" i="2"/>
  <c r="I210" i="2" l="1"/>
  <c r="H210" i="2"/>
  <c r="G210" i="2"/>
  <c r="J211" i="2"/>
  <c r="M209" i="2"/>
  <c r="F209" i="2"/>
  <c r="I211" i="2" l="1"/>
  <c r="H211" i="2"/>
  <c r="G211" i="2"/>
  <c r="J212" i="2"/>
  <c r="M210" i="2"/>
  <c r="F210" i="2"/>
  <c r="I212" i="2" l="1"/>
  <c r="H212" i="2"/>
  <c r="G212" i="2"/>
  <c r="J213" i="2"/>
  <c r="M211" i="2"/>
  <c r="F211" i="2"/>
  <c r="I213" i="2" l="1"/>
  <c r="H213" i="2"/>
  <c r="G213" i="2"/>
  <c r="J214" i="2"/>
  <c r="M212" i="2"/>
  <c r="F212" i="2"/>
  <c r="I214" i="2" l="1"/>
  <c r="H214" i="2"/>
  <c r="G214" i="2"/>
  <c r="J215" i="2"/>
  <c r="M213" i="2"/>
  <c r="F213" i="2"/>
  <c r="I215" i="2" l="1"/>
  <c r="H215" i="2"/>
  <c r="G215" i="2"/>
  <c r="J216" i="2"/>
  <c r="M214" i="2"/>
  <c r="F214" i="2"/>
  <c r="I216" i="2" l="1"/>
  <c r="H216" i="2"/>
  <c r="G216" i="2"/>
  <c r="J217" i="2"/>
  <c r="M215" i="2"/>
  <c r="F215" i="2"/>
  <c r="I217" i="2" l="1"/>
  <c r="H217" i="2"/>
  <c r="G217" i="2"/>
  <c r="J218" i="2"/>
  <c r="M216" i="2"/>
  <c r="F216" i="2"/>
  <c r="I218" i="2" l="1"/>
  <c r="H218" i="2"/>
  <c r="G218" i="2"/>
  <c r="J219" i="2"/>
  <c r="M217" i="2"/>
  <c r="F217" i="2"/>
  <c r="I219" i="2" l="1"/>
  <c r="H219" i="2"/>
  <c r="G219" i="2"/>
  <c r="J220" i="2"/>
  <c r="M218" i="2"/>
  <c r="F218" i="2"/>
  <c r="I220" i="2" l="1"/>
  <c r="H220" i="2"/>
  <c r="G220" i="2"/>
  <c r="J221" i="2"/>
  <c r="M219" i="2"/>
  <c r="F219" i="2"/>
  <c r="I221" i="2" l="1"/>
  <c r="H221" i="2"/>
  <c r="G221" i="2"/>
  <c r="J222" i="2"/>
  <c r="M220" i="2"/>
  <c r="F220" i="2"/>
  <c r="I222" i="2" l="1"/>
  <c r="H222" i="2"/>
  <c r="G222" i="2"/>
  <c r="J223" i="2"/>
  <c r="M221" i="2"/>
  <c r="F221" i="2"/>
  <c r="I223" i="2" l="1"/>
  <c r="H223" i="2"/>
  <c r="G223" i="2"/>
  <c r="J224" i="2"/>
  <c r="M222" i="2"/>
  <c r="F222" i="2"/>
  <c r="I224" i="2" l="1"/>
  <c r="H224" i="2"/>
  <c r="G224" i="2"/>
  <c r="J225" i="2"/>
  <c r="M223" i="2"/>
  <c r="F223" i="2"/>
  <c r="I225" i="2" l="1"/>
  <c r="H225" i="2"/>
  <c r="G225" i="2"/>
  <c r="J226" i="2"/>
  <c r="M224" i="2"/>
  <c r="F224" i="2"/>
  <c r="I226" i="2" l="1"/>
  <c r="H226" i="2"/>
  <c r="G226" i="2"/>
  <c r="J227" i="2"/>
  <c r="M225" i="2"/>
  <c r="F225" i="2"/>
  <c r="I227" i="2" l="1"/>
  <c r="H227" i="2"/>
  <c r="G227" i="2"/>
  <c r="J228" i="2"/>
  <c r="M226" i="2"/>
  <c r="F226" i="2"/>
  <c r="I228" i="2" l="1"/>
  <c r="H228" i="2"/>
  <c r="G228" i="2"/>
  <c r="J229" i="2"/>
  <c r="M227" i="2"/>
  <c r="F227" i="2"/>
  <c r="I229" i="2" l="1"/>
  <c r="H229" i="2"/>
  <c r="G229" i="2"/>
  <c r="J230" i="2"/>
  <c r="M228" i="2"/>
  <c r="F228" i="2"/>
  <c r="I230" i="2" l="1"/>
  <c r="H230" i="2"/>
  <c r="G230" i="2"/>
  <c r="J231" i="2"/>
  <c r="M229" i="2"/>
  <c r="F229" i="2"/>
  <c r="I231" i="2" l="1"/>
  <c r="H231" i="2"/>
  <c r="G231" i="2"/>
  <c r="J232" i="2"/>
  <c r="M230" i="2"/>
  <c r="F230" i="2"/>
  <c r="I232" i="2" l="1"/>
  <c r="H232" i="2"/>
  <c r="G232" i="2"/>
  <c r="J233" i="2"/>
  <c r="M231" i="2"/>
  <c r="F231" i="2"/>
  <c r="I233" i="2" l="1"/>
  <c r="H233" i="2"/>
  <c r="G233" i="2"/>
  <c r="J234" i="2"/>
  <c r="M232" i="2"/>
  <c r="F232" i="2"/>
  <c r="I234" i="2" l="1"/>
  <c r="H234" i="2"/>
  <c r="G234" i="2"/>
  <c r="J235" i="2"/>
  <c r="M233" i="2"/>
  <c r="F233" i="2"/>
  <c r="I235" i="2" l="1"/>
  <c r="H235" i="2"/>
  <c r="G235" i="2"/>
  <c r="J236" i="2"/>
  <c r="M234" i="2"/>
  <c r="F234" i="2"/>
  <c r="I236" i="2" l="1"/>
  <c r="H236" i="2"/>
  <c r="G236" i="2"/>
  <c r="J237" i="2"/>
  <c r="M235" i="2"/>
  <c r="F235" i="2"/>
  <c r="I237" i="2" l="1"/>
  <c r="H237" i="2"/>
  <c r="G237" i="2"/>
  <c r="J238" i="2"/>
  <c r="M236" i="2"/>
  <c r="F236" i="2"/>
  <c r="I238" i="2" l="1"/>
  <c r="H238" i="2"/>
  <c r="G238" i="2"/>
  <c r="J239" i="2"/>
  <c r="M237" i="2"/>
  <c r="F237" i="2"/>
  <c r="I239" i="2" l="1"/>
  <c r="H239" i="2"/>
  <c r="G239" i="2"/>
  <c r="J240" i="2"/>
  <c r="M238" i="2"/>
  <c r="F238" i="2"/>
  <c r="I240" i="2" l="1"/>
  <c r="H240" i="2"/>
  <c r="G240" i="2"/>
  <c r="J241" i="2"/>
  <c r="M239" i="2"/>
  <c r="F239" i="2"/>
  <c r="I241" i="2" l="1"/>
  <c r="H241" i="2"/>
  <c r="G241" i="2"/>
  <c r="J242" i="2"/>
  <c r="M240" i="2"/>
  <c r="F240" i="2"/>
  <c r="I242" i="2" l="1"/>
  <c r="H242" i="2"/>
  <c r="G242" i="2"/>
  <c r="J243" i="2"/>
  <c r="M241" i="2"/>
  <c r="F241" i="2"/>
  <c r="I243" i="2" l="1"/>
  <c r="H243" i="2"/>
  <c r="G243" i="2"/>
  <c r="J244" i="2"/>
  <c r="M242" i="2"/>
  <c r="F242" i="2"/>
  <c r="I244" i="2" l="1"/>
  <c r="H244" i="2"/>
  <c r="G244" i="2"/>
  <c r="J245" i="2"/>
  <c r="M243" i="2"/>
  <c r="F243" i="2"/>
  <c r="I245" i="2" l="1"/>
  <c r="H245" i="2"/>
  <c r="G245" i="2"/>
  <c r="J246" i="2"/>
  <c r="M244" i="2"/>
  <c r="F244" i="2"/>
  <c r="I246" i="2" l="1"/>
  <c r="H246" i="2"/>
  <c r="G246" i="2"/>
  <c r="J247" i="2"/>
  <c r="M245" i="2"/>
  <c r="F245" i="2"/>
  <c r="I247" i="2" l="1"/>
  <c r="H247" i="2"/>
  <c r="G247" i="2"/>
  <c r="J248" i="2"/>
  <c r="M246" i="2"/>
  <c r="F246" i="2"/>
  <c r="I248" i="2" l="1"/>
  <c r="H248" i="2"/>
  <c r="G248" i="2"/>
  <c r="J249" i="2"/>
  <c r="M247" i="2"/>
  <c r="F247" i="2"/>
  <c r="I249" i="2" l="1"/>
  <c r="H249" i="2"/>
  <c r="G249" i="2"/>
  <c r="J250" i="2"/>
  <c r="M248" i="2"/>
  <c r="F248" i="2"/>
  <c r="I250" i="2" l="1"/>
  <c r="H250" i="2"/>
  <c r="G250" i="2"/>
  <c r="J251" i="2"/>
  <c r="M249" i="2"/>
  <c r="F249" i="2"/>
  <c r="I251" i="2" l="1"/>
  <c r="H251" i="2"/>
  <c r="G251" i="2"/>
  <c r="J252" i="2"/>
  <c r="M250" i="2"/>
  <c r="F250" i="2"/>
  <c r="I252" i="2" l="1"/>
  <c r="H252" i="2"/>
  <c r="G252" i="2"/>
  <c r="J253" i="2"/>
  <c r="M251" i="2"/>
  <c r="F251" i="2"/>
  <c r="I253" i="2" l="1"/>
  <c r="H253" i="2"/>
  <c r="G253" i="2"/>
  <c r="J254" i="2"/>
  <c r="M252" i="2"/>
  <c r="F252" i="2"/>
  <c r="I254" i="2" l="1"/>
  <c r="H254" i="2"/>
  <c r="G254" i="2"/>
  <c r="J255" i="2"/>
  <c r="M253" i="2"/>
  <c r="F253" i="2"/>
  <c r="I255" i="2" l="1"/>
  <c r="H255" i="2"/>
  <c r="G255" i="2"/>
  <c r="J256" i="2"/>
  <c r="M254" i="2"/>
  <c r="F254" i="2"/>
  <c r="I256" i="2" l="1"/>
  <c r="H256" i="2"/>
  <c r="G256" i="2"/>
  <c r="J257" i="2"/>
  <c r="M255" i="2"/>
  <c r="F255" i="2"/>
  <c r="I257" i="2" l="1"/>
  <c r="H257" i="2"/>
  <c r="G257" i="2"/>
  <c r="J258" i="2"/>
  <c r="M256" i="2"/>
  <c r="F256" i="2"/>
  <c r="I258" i="2" l="1"/>
  <c r="H258" i="2"/>
  <c r="G258" i="2"/>
  <c r="J259" i="2"/>
  <c r="M257" i="2"/>
  <c r="F257" i="2"/>
  <c r="I259" i="2" l="1"/>
  <c r="H259" i="2"/>
  <c r="G259" i="2"/>
  <c r="J260" i="2"/>
  <c r="M258" i="2"/>
  <c r="F258" i="2"/>
  <c r="I260" i="2" l="1"/>
  <c r="H260" i="2"/>
  <c r="G260" i="2"/>
  <c r="J261" i="2"/>
  <c r="M259" i="2"/>
  <c r="F259" i="2"/>
  <c r="I261" i="2" l="1"/>
  <c r="H261" i="2"/>
  <c r="G261" i="2"/>
  <c r="J262" i="2"/>
  <c r="M260" i="2"/>
  <c r="F260" i="2"/>
  <c r="I262" i="2" l="1"/>
  <c r="H262" i="2"/>
  <c r="G262" i="2"/>
  <c r="J263" i="2"/>
  <c r="M261" i="2"/>
  <c r="F261" i="2"/>
  <c r="I263" i="2" l="1"/>
  <c r="H263" i="2"/>
  <c r="G263" i="2"/>
  <c r="J264" i="2"/>
  <c r="M262" i="2"/>
  <c r="F262" i="2"/>
  <c r="J265" i="2" l="1"/>
  <c r="I264" i="2"/>
  <c r="H264" i="2"/>
  <c r="G264" i="2"/>
  <c r="M263" i="2"/>
  <c r="F263" i="2"/>
  <c r="J266" i="2" l="1"/>
  <c r="I265" i="2"/>
  <c r="H265" i="2"/>
  <c r="G265" i="2"/>
  <c r="M264" i="2"/>
  <c r="F264" i="2"/>
  <c r="J267" i="2" l="1"/>
  <c r="I266" i="2"/>
  <c r="H266" i="2"/>
  <c r="G266" i="2"/>
  <c r="M265" i="2"/>
  <c r="F265" i="2"/>
  <c r="J268" i="2" l="1"/>
  <c r="G267" i="2"/>
  <c r="I267" i="2"/>
  <c r="H267" i="2"/>
  <c r="M266" i="2"/>
  <c r="F266" i="2"/>
  <c r="J269" i="2" l="1"/>
  <c r="H268" i="2"/>
  <c r="G268" i="2"/>
  <c r="I268" i="2"/>
  <c r="M267" i="2"/>
  <c r="F267" i="2"/>
  <c r="J270" i="2" l="1"/>
  <c r="I269" i="2"/>
  <c r="H269" i="2"/>
  <c r="G269" i="2"/>
  <c r="M268" i="2"/>
  <c r="F268" i="2"/>
  <c r="J271" i="2" l="1"/>
  <c r="I270" i="2"/>
  <c r="H270" i="2"/>
  <c r="G270" i="2"/>
  <c r="M269" i="2"/>
  <c r="F269" i="2"/>
  <c r="J272" i="2" l="1"/>
  <c r="I271" i="2"/>
  <c r="H271" i="2"/>
  <c r="G271" i="2"/>
  <c r="M270" i="2"/>
  <c r="F270" i="2"/>
  <c r="J273" i="2" l="1"/>
  <c r="I272" i="2"/>
  <c r="H272" i="2"/>
  <c r="G272" i="2"/>
  <c r="M271" i="2"/>
  <c r="F271" i="2"/>
  <c r="J274" i="2" l="1"/>
  <c r="I273" i="2"/>
  <c r="H273" i="2"/>
  <c r="G273" i="2"/>
  <c r="M272" i="2"/>
  <c r="F272" i="2"/>
  <c r="J275" i="2" l="1"/>
  <c r="I274" i="2"/>
  <c r="H274" i="2"/>
  <c r="G274" i="2"/>
  <c r="M273" i="2"/>
  <c r="F273" i="2"/>
  <c r="J276" i="2" l="1"/>
  <c r="I275" i="2"/>
  <c r="H275" i="2"/>
  <c r="G275" i="2"/>
  <c r="M274" i="2"/>
  <c r="F274" i="2"/>
  <c r="J277" i="2" l="1"/>
  <c r="I276" i="2"/>
  <c r="H276" i="2"/>
  <c r="G276" i="2"/>
  <c r="M275" i="2"/>
  <c r="F275" i="2"/>
  <c r="J278" i="2" l="1"/>
  <c r="I277" i="2"/>
  <c r="H277" i="2"/>
  <c r="G277" i="2"/>
  <c r="M276" i="2"/>
  <c r="F276" i="2"/>
  <c r="J279" i="2" l="1"/>
  <c r="I278" i="2"/>
  <c r="H278" i="2"/>
  <c r="G278" i="2"/>
  <c r="M277" i="2"/>
  <c r="F277" i="2"/>
  <c r="J280" i="2" l="1"/>
  <c r="I279" i="2"/>
  <c r="H279" i="2"/>
  <c r="G279" i="2"/>
  <c r="M278" i="2"/>
  <c r="F278" i="2"/>
  <c r="J281" i="2" l="1"/>
  <c r="I280" i="2"/>
  <c r="H280" i="2"/>
  <c r="G280" i="2"/>
  <c r="M279" i="2"/>
  <c r="F279" i="2"/>
  <c r="J282" i="2" l="1"/>
  <c r="I281" i="2"/>
  <c r="H281" i="2"/>
  <c r="G281" i="2"/>
  <c r="M280" i="2"/>
  <c r="F280" i="2"/>
  <c r="J283" i="2" l="1"/>
  <c r="I282" i="2"/>
  <c r="H282" i="2"/>
  <c r="G282" i="2"/>
  <c r="M281" i="2"/>
  <c r="F281" i="2"/>
  <c r="J284" i="2" l="1"/>
  <c r="I283" i="2"/>
  <c r="H283" i="2"/>
  <c r="G283" i="2"/>
  <c r="M282" i="2"/>
  <c r="F282" i="2"/>
  <c r="J285" i="2" l="1"/>
  <c r="I284" i="2"/>
  <c r="H284" i="2"/>
  <c r="G284" i="2"/>
  <c r="M283" i="2"/>
  <c r="F283" i="2"/>
  <c r="J286" i="2" l="1"/>
  <c r="I285" i="2"/>
  <c r="H285" i="2"/>
  <c r="G285" i="2"/>
  <c r="M284" i="2"/>
  <c r="F284" i="2"/>
  <c r="J287" i="2" l="1"/>
  <c r="I286" i="2"/>
  <c r="H286" i="2"/>
  <c r="G286" i="2"/>
  <c r="M285" i="2"/>
  <c r="F285" i="2"/>
  <c r="J288" i="2" l="1"/>
  <c r="I287" i="2"/>
  <c r="H287" i="2"/>
  <c r="G287" i="2"/>
  <c r="M286" i="2"/>
  <c r="F286" i="2"/>
  <c r="J289" i="2" l="1"/>
  <c r="I288" i="2"/>
  <c r="H288" i="2"/>
  <c r="G288" i="2"/>
  <c r="M287" i="2"/>
  <c r="F287" i="2"/>
  <c r="J290" i="2" l="1"/>
  <c r="I289" i="2"/>
  <c r="H289" i="2"/>
  <c r="G289" i="2"/>
  <c r="M288" i="2"/>
  <c r="F288" i="2"/>
  <c r="J291" i="2" l="1"/>
  <c r="I290" i="2"/>
  <c r="H290" i="2"/>
  <c r="G290" i="2"/>
  <c r="M289" i="2"/>
  <c r="F289" i="2"/>
  <c r="J292" i="2" l="1"/>
  <c r="I291" i="2"/>
  <c r="H291" i="2"/>
  <c r="G291" i="2"/>
  <c r="M290" i="2"/>
  <c r="F290" i="2"/>
  <c r="J293" i="2" l="1"/>
  <c r="I292" i="2"/>
  <c r="H292" i="2"/>
  <c r="G292" i="2"/>
  <c r="M291" i="2"/>
  <c r="F291" i="2"/>
  <c r="J294" i="2" l="1"/>
  <c r="I293" i="2"/>
  <c r="H293" i="2"/>
  <c r="G293" i="2"/>
  <c r="M292" i="2"/>
  <c r="F292" i="2"/>
  <c r="J295" i="2" l="1"/>
  <c r="I294" i="2"/>
  <c r="H294" i="2"/>
  <c r="G294" i="2"/>
  <c r="M293" i="2"/>
  <c r="F293" i="2"/>
  <c r="J296" i="2" l="1"/>
  <c r="I295" i="2"/>
  <c r="H295" i="2"/>
  <c r="G295" i="2"/>
  <c r="M294" i="2"/>
  <c r="F294" i="2"/>
  <c r="J297" i="2" l="1"/>
  <c r="I296" i="2"/>
  <c r="H296" i="2"/>
  <c r="G296" i="2"/>
  <c r="M295" i="2"/>
  <c r="F295" i="2"/>
  <c r="J298" i="2" l="1"/>
  <c r="I297" i="2"/>
  <c r="H297" i="2"/>
  <c r="G297" i="2"/>
  <c r="M296" i="2"/>
  <c r="F296" i="2"/>
  <c r="J299" i="2" l="1"/>
  <c r="I298" i="2"/>
  <c r="H298" i="2"/>
  <c r="G298" i="2"/>
  <c r="M297" i="2"/>
  <c r="F297" i="2"/>
  <c r="J300" i="2" l="1"/>
  <c r="I299" i="2"/>
  <c r="H299" i="2"/>
  <c r="G299" i="2"/>
  <c r="M298" i="2"/>
  <c r="F298" i="2"/>
  <c r="J301" i="2" l="1"/>
  <c r="I300" i="2"/>
  <c r="H300" i="2"/>
  <c r="G300" i="2"/>
  <c r="M299" i="2"/>
  <c r="F299" i="2"/>
  <c r="J302" i="2" l="1"/>
  <c r="I301" i="2"/>
  <c r="H301" i="2"/>
  <c r="G301" i="2"/>
  <c r="M300" i="2"/>
  <c r="F300" i="2"/>
  <c r="J303" i="2" l="1"/>
  <c r="I302" i="2"/>
  <c r="H302" i="2"/>
  <c r="G302" i="2"/>
  <c r="M301" i="2"/>
  <c r="F301" i="2"/>
  <c r="J304" i="2" l="1"/>
  <c r="I303" i="2"/>
  <c r="H303" i="2"/>
  <c r="G303" i="2"/>
  <c r="M302" i="2"/>
  <c r="F302" i="2"/>
  <c r="J305" i="2" l="1"/>
  <c r="I304" i="2"/>
  <c r="H304" i="2"/>
  <c r="G304" i="2"/>
  <c r="M303" i="2"/>
  <c r="F303" i="2"/>
  <c r="J306" i="2" l="1"/>
  <c r="I305" i="2"/>
  <c r="H305" i="2"/>
  <c r="G305" i="2"/>
  <c r="M304" i="2"/>
  <c r="F304" i="2"/>
  <c r="J307" i="2" l="1"/>
  <c r="I306" i="2"/>
  <c r="H306" i="2"/>
  <c r="G306" i="2"/>
  <c r="M305" i="2"/>
  <c r="F305" i="2"/>
  <c r="J308" i="2" l="1"/>
  <c r="I307" i="2"/>
  <c r="H307" i="2"/>
  <c r="G307" i="2"/>
  <c r="M306" i="2"/>
  <c r="F306" i="2"/>
  <c r="J309" i="2" l="1"/>
  <c r="I308" i="2"/>
  <c r="H308" i="2"/>
  <c r="G308" i="2"/>
  <c r="M307" i="2"/>
  <c r="F307" i="2"/>
  <c r="J310" i="2" l="1"/>
  <c r="I309" i="2"/>
  <c r="H309" i="2"/>
  <c r="G309" i="2"/>
  <c r="M308" i="2"/>
  <c r="F308" i="2"/>
  <c r="J311" i="2" l="1"/>
  <c r="I310" i="2"/>
  <c r="H310" i="2"/>
  <c r="G310" i="2"/>
  <c r="M309" i="2"/>
  <c r="F309" i="2"/>
  <c r="J312" i="2" l="1"/>
  <c r="I311" i="2"/>
  <c r="H311" i="2"/>
  <c r="G311" i="2"/>
  <c r="M310" i="2"/>
  <c r="F310" i="2"/>
  <c r="J313" i="2" l="1"/>
  <c r="I312" i="2"/>
  <c r="H312" i="2"/>
  <c r="G312" i="2"/>
  <c r="M311" i="2"/>
  <c r="F311" i="2"/>
  <c r="J314" i="2" l="1"/>
  <c r="I313" i="2"/>
  <c r="H313" i="2"/>
  <c r="G313" i="2"/>
  <c r="M312" i="2"/>
  <c r="F312" i="2"/>
  <c r="J315" i="2" l="1"/>
  <c r="I314" i="2"/>
  <c r="H314" i="2"/>
  <c r="G314" i="2"/>
  <c r="M313" i="2"/>
  <c r="F313" i="2"/>
  <c r="J316" i="2" l="1"/>
  <c r="I315" i="2"/>
  <c r="H315" i="2"/>
  <c r="G315" i="2"/>
  <c r="M314" i="2"/>
  <c r="F314" i="2"/>
  <c r="J317" i="2" l="1"/>
  <c r="I316" i="2"/>
  <c r="H316" i="2"/>
  <c r="G316" i="2"/>
  <c r="M315" i="2"/>
  <c r="F315" i="2"/>
  <c r="J318" i="2" l="1"/>
  <c r="I317" i="2"/>
  <c r="H317" i="2"/>
  <c r="G317" i="2"/>
  <c r="M316" i="2"/>
  <c r="F316" i="2"/>
  <c r="J319" i="2" l="1"/>
  <c r="I318" i="2"/>
  <c r="H318" i="2"/>
  <c r="G318" i="2"/>
  <c r="M317" i="2"/>
  <c r="F317" i="2"/>
  <c r="J320" i="2" l="1"/>
  <c r="I319" i="2"/>
  <c r="H319" i="2"/>
  <c r="G319" i="2"/>
  <c r="M318" i="2"/>
  <c r="F318" i="2"/>
  <c r="J321" i="2" l="1"/>
  <c r="I320" i="2"/>
  <c r="H320" i="2"/>
  <c r="G320" i="2"/>
  <c r="M319" i="2"/>
  <c r="F319" i="2"/>
  <c r="J322" i="2" l="1"/>
  <c r="I321" i="2"/>
  <c r="H321" i="2"/>
  <c r="G321" i="2"/>
  <c r="M320" i="2"/>
  <c r="F320" i="2"/>
  <c r="J323" i="2" l="1"/>
  <c r="I322" i="2"/>
  <c r="H322" i="2"/>
  <c r="G322" i="2"/>
  <c r="M321" i="2"/>
  <c r="F321" i="2"/>
  <c r="J324" i="2" l="1"/>
  <c r="I323" i="2"/>
  <c r="H323" i="2"/>
  <c r="G323" i="2"/>
  <c r="M322" i="2"/>
  <c r="F322" i="2"/>
  <c r="J325" i="2" l="1"/>
  <c r="I324" i="2"/>
  <c r="H324" i="2"/>
  <c r="G324" i="2"/>
  <c r="M323" i="2"/>
  <c r="F323" i="2"/>
  <c r="J326" i="2" l="1"/>
  <c r="I325" i="2"/>
  <c r="H325" i="2"/>
  <c r="G325" i="2"/>
  <c r="M324" i="2"/>
  <c r="F324" i="2"/>
  <c r="J327" i="2" l="1"/>
  <c r="I326" i="2"/>
  <c r="H326" i="2"/>
  <c r="G326" i="2"/>
  <c r="M325" i="2"/>
  <c r="F325" i="2"/>
  <c r="J328" i="2" l="1"/>
  <c r="I327" i="2"/>
  <c r="H327" i="2"/>
  <c r="G327" i="2"/>
  <c r="M326" i="2"/>
  <c r="F326" i="2"/>
  <c r="J329" i="2" l="1"/>
  <c r="I328" i="2"/>
  <c r="H328" i="2"/>
  <c r="G328" i="2"/>
  <c r="M327" i="2"/>
  <c r="F327" i="2"/>
  <c r="J330" i="2" l="1"/>
  <c r="I329" i="2"/>
  <c r="H329" i="2"/>
  <c r="G329" i="2"/>
  <c r="M328" i="2"/>
  <c r="F328" i="2"/>
  <c r="J331" i="2" l="1"/>
  <c r="I330" i="2"/>
  <c r="H330" i="2"/>
  <c r="G330" i="2"/>
  <c r="M329" i="2"/>
  <c r="F329" i="2"/>
  <c r="J332" i="2" l="1"/>
  <c r="I331" i="2"/>
  <c r="H331" i="2"/>
  <c r="G331" i="2"/>
  <c r="M330" i="2"/>
  <c r="F330" i="2"/>
  <c r="J333" i="2" l="1"/>
  <c r="I332" i="2"/>
  <c r="H332" i="2"/>
  <c r="G332" i="2"/>
  <c r="M331" i="2"/>
  <c r="F331" i="2"/>
  <c r="J334" i="2" l="1"/>
  <c r="I333" i="2"/>
  <c r="H333" i="2"/>
  <c r="G333" i="2"/>
  <c r="M332" i="2"/>
  <c r="F332" i="2"/>
  <c r="J335" i="2" l="1"/>
  <c r="I334" i="2"/>
  <c r="H334" i="2"/>
  <c r="G334" i="2"/>
  <c r="M333" i="2"/>
  <c r="F333" i="2"/>
  <c r="J336" i="2" l="1"/>
  <c r="I335" i="2"/>
  <c r="H335" i="2"/>
  <c r="G335" i="2"/>
  <c r="M334" i="2"/>
  <c r="F334" i="2"/>
  <c r="J337" i="2" l="1"/>
  <c r="I336" i="2"/>
  <c r="H336" i="2"/>
  <c r="G336" i="2"/>
  <c r="M335" i="2"/>
  <c r="F335" i="2"/>
  <c r="J338" i="2" l="1"/>
  <c r="I337" i="2"/>
  <c r="H337" i="2"/>
  <c r="G337" i="2"/>
  <c r="M336" i="2"/>
  <c r="F336" i="2"/>
  <c r="J339" i="2" l="1"/>
  <c r="I338" i="2"/>
  <c r="H338" i="2"/>
  <c r="G338" i="2"/>
  <c r="M337" i="2"/>
  <c r="F337" i="2"/>
  <c r="J340" i="2" l="1"/>
  <c r="I339" i="2"/>
  <c r="H339" i="2"/>
  <c r="G339" i="2"/>
  <c r="M338" i="2"/>
  <c r="F338" i="2"/>
  <c r="J341" i="2" l="1"/>
  <c r="I340" i="2"/>
  <c r="H340" i="2"/>
  <c r="G340" i="2"/>
  <c r="M339" i="2"/>
  <c r="F339" i="2"/>
  <c r="J342" i="2" l="1"/>
  <c r="I341" i="2"/>
  <c r="H341" i="2"/>
  <c r="G341" i="2"/>
  <c r="M340" i="2"/>
  <c r="F340" i="2"/>
  <c r="J343" i="2" l="1"/>
  <c r="I342" i="2"/>
  <c r="H342" i="2"/>
  <c r="G342" i="2"/>
  <c r="M341" i="2"/>
  <c r="F341" i="2"/>
  <c r="J344" i="2" l="1"/>
  <c r="I343" i="2"/>
  <c r="H343" i="2"/>
  <c r="G343" i="2"/>
  <c r="M342" i="2"/>
  <c r="F342" i="2"/>
  <c r="J345" i="2" l="1"/>
  <c r="I344" i="2"/>
  <c r="H344" i="2"/>
  <c r="G344" i="2"/>
  <c r="M343" i="2"/>
  <c r="F343" i="2"/>
  <c r="J346" i="2" l="1"/>
  <c r="I345" i="2"/>
  <c r="H345" i="2"/>
  <c r="G345" i="2"/>
  <c r="M344" i="2"/>
  <c r="F344" i="2"/>
  <c r="J347" i="2" l="1"/>
  <c r="I346" i="2"/>
  <c r="H346" i="2"/>
  <c r="G346" i="2"/>
  <c r="M345" i="2"/>
  <c r="F345" i="2"/>
  <c r="J348" i="2" l="1"/>
  <c r="I347" i="2"/>
  <c r="H347" i="2"/>
  <c r="G347" i="2"/>
  <c r="M346" i="2"/>
  <c r="F346" i="2"/>
  <c r="J349" i="2" l="1"/>
  <c r="I348" i="2"/>
  <c r="H348" i="2"/>
  <c r="G348" i="2"/>
  <c r="M347" i="2"/>
  <c r="F347" i="2"/>
  <c r="I349" i="2" l="1"/>
  <c r="H349" i="2"/>
  <c r="G349" i="2"/>
  <c r="M348" i="2"/>
  <c r="F348" i="2"/>
  <c r="F17" i="2" l="1"/>
  <c r="M349" i="2"/>
  <c r="F349" i="2" l="1"/>
  <c r="F6" i="2"/>
  <c r="F5" i="2"/>
  <c r="F7" i="2"/>
  <c r="F9" i="2"/>
  <c r="F8" i="2"/>
  <c r="F10" i="2"/>
  <c r="F13" i="2"/>
  <c r="F12" i="2"/>
  <c r="F11" i="2"/>
  <c r="F16" i="2"/>
  <c r="F14" i="2"/>
  <c r="F15" i="2"/>
  <c r="E15" i="2" l="1"/>
  <c r="E12" i="2"/>
  <c r="E9" i="2"/>
  <c r="E14" i="2"/>
  <c r="E7" i="2"/>
  <c r="E16" i="2"/>
  <c r="E10" i="2"/>
  <c r="E5" i="2"/>
  <c r="E17" i="2"/>
  <c r="E18" i="2"/>
  <c r="E19" i="2"/>
  <c r="E20" i="2"/>
  <c r="E22" i="2"/>
  <c r="E21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13" i="2"/>
  <c r="E11" i="2"/>
  <c r="E8" i="2"/>
  <c r="E6" i="2"/>
  <c r="O5" i="2" l="1"/>
  <c r="H5" i="1" s="1"/>
  <c r="N5" i="2"/>
  <c r="G5" i="1" s="1"/>
  <c r="P5" i="2"/>
  <c r="F5" i="1" s="1"/>
  <c r="P6" i="2"/>
  <c r="F6" i="1" s="1"/>
  <c r="O6" i="2"/>
  <c r="H6" i="1" s="1"/>
  <c r="N6" i="2"/>
  <c r="G6" i="1" s="1"/>
  <c r="O7" i="2"/>
  <c r="H7" i="1" s="1"/>
  <c r="N7" i="2"/>
  <c r="G7" i="1" s="1"/>
  <c r="P7" i="2"/>
  <c r="F7" i="1" s="1"/>
  <c r="O8" i="2"/>
  <c r="H8" i="1" s="1"/>
  <c r="P8" i="2"/>
  <c r="F8" i="1" s="1"/>
  <c r="N8" i="2"/>
  <c r="G8" i="1" s="1"/>
  <c r="P9" i="2"/>
  <c r="F9" i="1" s="1"/>
  <c r="N9" i="2"/>
  <c r="G9" i="1" s="1"/>
  <c r="O9" i="2"/>
  <c r="H9" i="1" s="1"/>
  <c r="O10" i="2"/>
  <c r="H10" i="1" s="1"/>
  <c r="N10" i="2"/>
  <c r="G10" i="1" s="1"/>
  <c r="P10" i="2"/>
  <c r="F10" i="1" s="1"/>
  <c r="N11" i="2"/>
  <c r="G11" i="1" s="1"/>
  <c r="P11" i="2"/>
  <c r="F11" i="1" s="1"/>
  <c r="O11" i="2"/>
  <c r="H11" i="1" s="1"/>
  <c r="N12" i="2"/>
  <c r="G12" i="1" s="1"/>
  <c r="P12" i="2"/>
  <c r="F12" i="1" s="1"/>
  <c r="O12" i="2"/>
  <c r="H12" i="1" s="1"/>
  <c r="O13" i="2"/>
  <c r="H13" i="1" s="1"/>
  <c r="P13" i="2"/>
  <c r="F13" i="1" s="1"/>
  <c r="N13" i="2"/>
  <c r="G13" i="1" s="1"/>
  <c r="N14" i="2"/>
  <c r="G14" i="1" s="1"/>
  <c r="P14" i="2"/>
  <c r="F14" i="1" s="1"/>
  <c r="O14" i="2"/>
  <c r="H14" i="1" s="1"/>
  <c r="N15" i="2"/>
  <c r="G15" i="1" s="1"/>
  <c r="P15" i="2"/>
  <c r="F15" i="1" s="1"/>
  <c r="O15" i="2"/>
  <c r="H15" i="1" s="1"/>
  <c r="O16" i="2"/>
  <c r="P16" i="2"/>
  <c r="N16" i="2"/>
  <c r="N17" i="2"/>
  <c r="O17" i="2"/>
  <c r="P17" i="2"/>
  <c r="P18" i="2"/>
  <c r="N18" i="2"/>
  <c r="O18" i="2"/>
  <c r="N19" i="2"/>
  <c r="P19" i="2"/>
  <c r="O19" i="2"/>
  <c r="N20" i="2"/>
  <c r="O20" i="2"/>
  <c r="P20" i="2"/>
  <c r="N21" i="2"/>
  <c r="O21" i="2"/>
  <c r="P21" i="2"/>
  <c r="O22" i="2"/>
  <c r="P22" i="2"/>
  <c r="N22" i="2"/>
  <c r="O23" i="2"/>
  <c r="P23" i="2"/>
  <c r="N23" i="2"/>
  <c r="O24" i="2"/>
  <c r="P24" i="2"/>
  <c r="N24" i="2"/>
  <c r="O25" i="2"/>
  <c r="P25" i="2"/>
  <c r="N25" i="2"/>
  <c r="O26" i="2"/>
  <c r="N26" i="2"/>
  <c r="P26" i="2"/>
  <c r="N27" i="2"/>
  <c r="O27" i="2"/>
  <c r="P27" i="2"/>
  <c r="P28" i="2"/>
  <c r="N28" i="2"/>
  <c r="O28" i="2"/>
  <c r="O29" i="2"/>
  <c r="P29" i="2"/>
  <c r="N29" i="2"/>
  <c r="P30" i="2"/>
  <c r="O30" i="2"/>
  <c r="N30" i="2"/>
  <c r="P31" i="2"/>
  <c r="O31" i="2"/>
  <c r="N31" i="2"/>
  <c r="N32" i="2"/>
  <c r="O32" i="2"/>
  <c r="P32" i="2"/>
  <c r="N33" i="2"/>
  <c r="O33" i="2"/>
  <c r="P33" i="2"/>
  <c r="P34" i="2"/>
  <c r="N34" i="2"/>
  <c r="O34" i="2"/>
  <c r="O35" i="2"/>
  <c r="P35" i="2"/>
  <c r="N35" i="2"/>
  <c r="O36" i="2"/>
  <c r="N36" i="2"/>
  <c r="P36" i="2"/>
  <c r="O37" i="2"/>
  <c r="P37" i="2"/>
  <c r="N37" i="2"/>
  <c r="O38" i="2"/>
  <c r="N38" i="2"/>
  <c r="P38" i="2"/>
  <c r="O39" i="2"/>
  <c r="P39" i="2"/>
  <c r="N39" i="2"/>
  <c r="O40" i="2"/>
  <c r="N40" i="2"/>
  <c r="P40" i="2"/>
  <c r="O41" i="2"/>
  <c r="P41" i="2"/>
  <c r="N41" i="2"/>
  <c r="O42" i="2"/>
  <c r="N42" i="2"/>
  <c r="P42" i="2"/>
  <c r="O43" i="2"/>
  <c r="N43" i="2"/>
  <c r="P43" i="2"/>
  <c r="O44" i="2"/>
  <c r="N44" i="2"/>
  <c r="P44" i="2"/>
  <c r="O45" i="2"/>
  <c r="P45" i="2"/>
  <c r="N45" i="2"/>
  <c r="O46" i="2"/>
  <c r="N46" i="2"/>
  <c r="P46" i="2"/>
  <c r="O47" i="2"/>
  <c r="N47" i="2"/>
  <c r="P47" i="2"/>
  <c r="O48" i="2"/>
  <c r="P48" i="2"/>
  <c r="N48" i="2"/>
  <c r="O49" i="2"/>
  <c r="P49" i="2"/>
  <c r="N49" i="2"/>
  <c r="O50" i="2"/>
  <c r="N50" i="2"/>
  <c r="P50" i="2"/>
  <c r="N51" i="2"/>
  <c r="O51" i="2"/>
  <c r="P51" i="2"/>
  <c r="P52" i="2"/>
  <c r="N52" i="2"/>
  <c r="O52" i="2"/>
  <c r="O53" i="2"/>
  <c r="P53" i="2"/>
  <c r="N53" i="2"/>
  <c r="O54" i="2"/>
  <c r="N54" i="2"/>
  <c r="P54" i="2"/>
  <c r="N55" i="2"/>
  <c r="O55" i="2"/>
  <c r="P55" i="2"/>
  <c r="P56" i="2"/>
  <c r="N56" i="2"/>
  <c r="O56" i="2"/>
  <c r="O57" i="2"/>
  <c r="P57" i="2"/>
  <c r="N57" i="2"/>
  <c r="P58" i="2"/>
  <c r="N58" i="2"/>
  <c r="O58" i="2"/>
  <c r="P59" i="2"/>
  <c r="N59" i="2"/>
  <c r="O59" i="2"/>
  <c r="O60" i="2"/>
  <c r="N60" i="2"/>
  <c r="P60" i="2"/>
  <c r="P61" i="2"/>
  <c r="O61" i="2"/>
  <c r="N61" i="2"/>
  <c r="O62" i="2"/>
  <c r="N62" i="2"/>
  <c r="P62" i="2"/>
  <c r="N63" i="2"/>
  <c r="O63" i="2"/>
  <c r="P63" i="2"/>
  <c r="O64" i="2"/>
  <c r="P64" i="2"/>
  <c r="N64" i="2"/>
  <c r="P65" i="2"/>
  <c r="O65" i="2"/>
  <c r="N65" i="2"/>
  <c r="O66" i="2"/>
  <c r="N66" i="2"/>
  <c r="P66" i="2"/>
  <c r="N67" i="2"/>
  <c r="P67" i="2"/>
  <c r="O67" i="2"/>
  <c r="O68" i="2"/>
  <c r="N68" i="2"/>
  <c r="P68" i="2"/>
  <c r="P69" i="2"/>
  <c r="N69" i="2"/>
  <c r="O69" i="2"/>
  <c r="O70" i="2"/>
  <c r="N70" i="2"/>
  <c r="P70" i="2"/>
  <c r="N71" i="2"/>
  <c r="O71" i="2"/>
  <c r="P71" i="2"/>
  <c r="O72" i="2"/>
  <c r="P72" i="2"/>
  <c r="N72" i="2"/>
  <c r="P73" i="2"/>
  <c r="O73" i="2"/>
  <c r="N73" i="2"/>
  <c r="O74" i="2"/>
  <c r="N74" i="2"/>
  <c r="P74" i="2"/>
  <c r="N75" i="2"/>
  <c r="P75" i="2"/>
  <c r="O75" i="2"/>
  <c r="O76" i="2"/>
  <c r="P76" i="2"/>
  <c r="N76" i="2"/>
  <c r="P77" i="2"/>
  <c r="O77" i="2"/>
  <c r="N77" i="2"/>
  <c r="P78" i="2"/>
  <c r="O78" i="2"/>
  <c r="N78" i="2"/>
  <c r="N79" i="2"/>
  <c r="P79" i="2"/>
  <c r="O79" i="2"/>
  <c r="O80" i="2"/>
  <c r="N80" i="2"/>
  <c r="P80" i="2"/>
  <c r="P81" i="2"/>
  <c r="O81" i="2"/>
  <c r="N81" i="2"/>
  <c r="O82" i="2"/>
  <c r="N82" i="2"/>
  <c r="P82" i="2"/>
  <c r="N83" i="2"/>
  <c r="P83" i="2"/>
  <c r="O83" i="2"/>
  <c r="O84" i="2"/>
  <c r="P84" i="2"/>
  <c r="N84" i="2"/>
  <c r="N85" i="2"/>
  <c r="O85" i="2"/>
  <c r="P85" i="2"/>
  <c r="P86" i="2"/>
  <c r="O86" i="2"/>
  <c r="N86" i="2"/>
  <c r="N87" i="2"/>
  <c r="P87" i="2"/>
  <c r="O87" i="2"/>
  <c r="O88" i="2"/>
  <c r="N88" i="2"/>
  <c r="P88" i="2"/>
  <c r="N89" i="2"/>
  <c r="P89" i="2"/>
  <c r="O89" i="2"/>
  <c r="P90" i="2"/>
  <c r="O90" i="2"/>
  <c r="N90" i="2"/>
  <c r="N91" i="2"/>
  <c r="P91" i="2"/>
  <c r="O91" i="2"/>
  <c r="O92" i="2"/>
  <c r="N92" i="2"/>
  <c r="P92" i="2"/>
  <c r="N93" i="2"/>
  <c r="O93" i="2"/>
  <c r="P93" i="2"/>
  <c r="O94" i="2"/>
  <c r="N94" i="2"/>
  <c r="P94" i="2"/>
  <c r="N95" i="2"/>
  <c r="P95" i="2"/>
  <c r="O95" i="2"/>
  <c r="P96" i="2"/>
  <c r="O96" i="2"/>
  <c r="N96" i="2"/>
  <c r="N97" i="2"/>
  <c r="P97" i="2"/>
  <c r="O97" i="2"/>
  <c r="O98" i="2"/>
  <c r="N98" i="2"/>
  <c r="P98" i="2"/>
  <c r="N99" i="2"/>
  <c r="P99" i="2"/>
  <c r="O99" i="2"/>
  <c r="O100" i="2"/>
  <c r="N100" i="2"/>
  <c r="P100" i="2"/>
  <c r="N101" i="2"/>
  <c r="P101" i="2"/>
  <c r="O101" i="2"/>
  <c r="P102" i="2"/>
  <c r="O102" i="2"/>
  <c r="N102" i="2"/>
  <c r="N103" i="2"/>
  <c r="P103" i="2"/>
  <c r="O103" i="2"/>
  <c r="O104" i="2"/>
  <c r="P104" i="2"/>
  <c r="N104" i="2"/>
  <c r="N105" i="2"/>
  <c r="P105" i="2"/>
  <c r="O105" i="2"/>
  <c r="O106" i="2"/>
  <c r="N106" i="2"/>
  <c r="P106" i="2"/>
  <c r="N107" i="2"/>
  <c r="P107" i="2"/>
  <c r="O107" i="2"/>
  <c r="O108" i="2"/>
  <c r="N108" i="2"/>
  <c r="P108" i="2"/>
  <c r="N109" i="2"/>
  <c r="P109" i="2"/>
  <c r="O109" i="2"/>
  <c r="O110" i="2"/>
  <c r="N110" i="2"/>
  <c r="P110" i="2"/>
  <c r="N111" i="2"/>
  <c r="P111" i="2"/>
  <c r="O111" i="2"/>
  <c r="O112" i="2"/>
  <c r="P112" i="2"/>
  <c r="N112" i="2"/>
  <c r="N113" i="2"/>
  <c r="P113" i="2"/>
  <c r="O113" i="2"/>
  <c r="P114" i="2"/>
  <c r="O114" i="2"/>
  <c r="N114" i="2"/>
  <c r="N115" i="2"/>
  <c r="P115" i="2"/>
  <c r="O115" i="2"/>
  <c r="P116" i="2"/>
  <c r="O116" i="2"/>
  <c r="N116" i="2"/>
  <c r="N117" i="2"/>
  <c r="P117" i="2"/>
  <c r="O117" i="2"/>
  <c r="P118" i="2"/>
  <c r="O118" i="2"/>
  <c r="N118" i="2"/>
  <c r="N119" i="2"/>
  <c r="P119" i="2"/>
  <c r="O119" i="2"/>
  <c r="O120" i="2"/>
  <c r="N120" i="2"/>
  <c r="P120" i="2"/>
  <c r="P121" i="2"/>
  <c r="O121" i="2"/>
  <c r="N121" i="2"/>
  <c r="O122" i="2"/>
  <c r="N122" i="2"/>
  <c r="P122" i="2"/>
  <c r="N123" i="2"/>
  <c r="P123" i="2"/>
  <c r="O123" i="2"/>
  <c r="O124" i="2"/>
  <c r="N124" i="2"/>
  <c r="P124" i="2"/>
  <c r="N125" i="2"/>
  <c r="P125" i="2"/>
  <c r="O125" i="2"/>
  <c r="O126" i="2"/>
  <c r="N126" i="2"/>
  <c r="P126" i="2"/>
  <c r="N127" i="2"/>
  <c r="P127" i="2"/>
  <c r="O127" i="2"/>
  <c r="P128" i="2"/>
  <c r="O128" i="2"/>
  <c r="N128" i="2"/>
  <c r="P129" i="2"/>
  <c r="O129" i="2"/>
  <c r="N129" i="2"/>
  <c r="O130" i="2"/>
  <c r="N130" i="2"/>
  <c r="P130" i="2"/>
  <c r="N131" i="2"/>
  <c r="P131" i="2"/>
  <c r="O131" i="2"/>
  <c r="O132" i="2"/>
  <c r="N132" i="2"/>
  <c r="P132" i="2"/>
  <c r="N133" i="2"/>
  <c r="O133" i="2"/>
  <c r="P133" i="2"/>
  <c r="P134" i="2"/>
  <c r="O134" i="2"/>
  <c r="N134" i="2"/>
  <c r="P135" i="2"/>
  <c r="O135" i="2"/>
  <c r="N135" i="2"/>
  <c r="O136" i="2"/>
  <c r="P136" i="2"/>
  <c r="N136" i="2"/>
  <c r="N137" i="2"/>
  <c r="P137" i="2"/>
  <c r="O137" i="2"/>
  <c r="N138" i="2"/>
  <c r="P138" i="2"/>
  <c r="O138" i="2"/>
  <c r="P139" i="2"/>
  <c r="O139" i="2"/>
  <c r="N139" i="2"/>
  <c r="N140" i="2"/>
  <c r="O140" i="2"/>
  <c r="P140" i="2"/>
  <c r="O141" i="2"/>
  <c r="P141" i="2"/>
  <c r="N141" i="2"/>
  <c r="O142" i="2"/>
  <c r="P142" i="2"/>
  <c r="N142" i="2"/>
  <c r="P143" i="2"/>
  <c r="O143" i="2"/>
  <c r="N143" i="2"/>
  <c r="N144" i="2"/>
  <c r="O144" i="2"/>
  <c r="P144" i="2"/>
  <c r="N145" i="2"/>
  <c r="O145" i="2"/>
  <c r="P145" i="2"/>
  <c r="N146" i="2"/>
  <c r="P146" i="2"/>
  <c r="O146" i="2"/>
  <c r="P147" i="2"/>
  <c r="O147" i="2"/>
  <c r="N147" i="2"/>
  <c r="N148" i="2"/>
  <c r="O148" i="2"/>
  <c r="P148" i="2"/>
  <c r="N149" i="2"/>
  <c r="O149" i="2"/>
  <c r="P149" i="2"/>
  <c r="N150" i="2"/>
  <c r="O150" i="2"/>
  <c r="P150" i="2"/>
  <c r="P151" i="2"/>
  <c r="O151" i="2"/>
  <c r="N151" i="2"/>
  <c r="N152" i="2"/>
  <c r="O152" i="2"/>
  <c r="P152" i="2"/>
  <c r="N153" i="2"/>
  <c r="P153" i="2"/>
  <c r="O153" i="2"/>
  <c r="O154" i="2"/>
  <c r="P154" i="2"/>
  <c r="N154" i="2"/>
  <c r="N155" i="2"/>
  <c r="P155" i="2"/>
  <c r="O155" i="2"/>
  <c r="O156" i="2"/>
  <c r="P156" i="2"/>
  <c r="N156" i="2"/>
  <c r="N157" i="2"/>
  <c r="P157" i="2"/>
  <c r="O157" i="2"/>
  <c r="O158" i="2"/>
  <c r="N158" i="2"/>
  <c r="P158" i="2"/>
  <c r="P159" i="2"/>
  <c r="O159" i="2"/>
  <c r="N159" i="2"/>
  <c r="O160" i="2"/>
  <c r="N160" i="2"/>
  <c r="P160" i="2"/>
  <c r="N161" i="2"/>
  <c r="P161" i="2"/>
  <c r="O161" i="2"/>
  <c r="O162" i="2"/>
  <c r="N162" i="2"/>
  <c r="P162" i="2"/>
  <c r="P163" i="2"/>
  <c r="O163" i="2"/>
  <c r="N163" i="2"/>
  <c r="O164" i="2"/>
  <c r="N164" i="2"/>
  <c r="P164" i="2"/>
  <c r="N165" i="2"/>
  <c r="P165" i="2"/>
  <c r="O165" i="2"/>
  <c r="O166" i="2"/>
  <c r="P166" i="2"/>
  <c r="N166" i="2"/>
  <c r="N167" i="2"/>
  <c r="P167" i="2"/>
  <c r="O167" i="2"/>
  <c r="O168" i="2"/>
  <c r="N168" i="2"/>
  <c r="P168" i="2"/>
  <c r="N169" i="2"/>
  <c r="P169" i="2"/>
  <c r="O169" i="2"/>
  <c r="O170" i="2"/>
  <c r="P170" i="2"/>
  <c r="N170" i="2"/>
  <c r="P171" i="2"/>
  <c r="O171" i="2"/>
  <c r="N171" i="2"/>
  <c r="O172" i="2"/>
  <c r="N172" i="2"/>
  <c r="P172" i="2"/>
  <c r="N173" i="2"/>
  <c r="O173" i="2"/>
  <c r="P173" i="2"/>
  <c r="O174" i="2"/>
  <c r="P174" i="2"/>
  <c r="N174" i="2"/>
  <c r="P175" i="2"/>
  <c r="O175" i="2"/>
  <c r="N175" i="2"/>
  <c r="O176" i="2"/>
  <c r="P176" i="2"/>
  <c r="N176" i="2"/>
  <c r="P177" i="2"/>
  <c r="O177" i="2"/>
  <c r="N177" i="2"/>
  <c r="O178" i="2"/>
  <c r="P178" i="2"/>
  <c r="N178" i="2"/>
  <c r="O179" i="2"/>
  <c r="N179" i="2"/>
  <c r="P179" i="2"/>
  <c r="O180" i="2"/>
  <c r="P180" i="2"/>
  <c r="N180" i="2"/>
  <c r="P181" i="2"/>
  <c r="N181" i="2"/>
  <c r="O181" i="2"/>
  <c r="O182" i="2"/>
  <c r="P182" i="2"/>
  <c r="N182" i="2"/>
  <c r="P183" i="2"/>
  <c r="O183" i="2"/>
  <c r="N183" i="2"/>
  <c r="N184" i="2"/>
  <c r="P184" i="2"/>
  <c r="O184" i="2"/>
  <c r="O185" i="2"/>
  <c r="N185" i="2"/>
  <c r="P185" i="2"/>
  <c r="N186" i="2"/>
  <c r="O186" i="2"/>
  <c r="P186" i="2"/>
  <c r="P187" i="2"/>
  <c r="O187" i="2"/>
  <c r="N187" i="2"/>
  <c r="O188" i="2"/>
  <c r="N188" i="2"/>
  <c r="P188" i="2"/>
  <c r="O189" i="2"/>
  <c r="N189" i="2"/>
  <c r="P189" i="2"/>
  <c r="O190" i="2"/>
  <c r="N190" i="2"/>
  <c r="P190" i="2"/>
  <c r="P191" i="2"/>
  <c r="O191" i="2"/>
  <c r="N191" i="2"/>
  <c r="P192" i="2"/>
  <c r="N192" i="2"/>
  <c r="O192" i="2"/>
  <c r="P193" i="2"/>
  <c r="O193" i="2"/>
  <c r="N193" i="2"/>
  <c r="O194" i="2"/>
  <c r="P194" i="2"/>
  <c r="N194" i="2"/>
  <c r="N195" i="2"/>
  <c r="P195" i="2"/>
  <c r="O195" i="2"/>
  <c r="O196" i="2"/>
  <c r="P196" i="2"/>
  <c r="N196" i="2"/>
  <c r="P197" i="2"/>
  <c r="O197" i="2"/>
  <c r="N197" i="2"/>
  <c r="P198" i="2"/>
  <c r="O198" i="2"/>
  <c r="N198" i="2"/>
  <c r="N199" i="2"/>
  <c r="P199" i="2"/>
  <c r="O199" i="2"/>
  <c r="N200" i="2"/>
  <c r="P200" i="2"/>
  <c r="O200" i="2"/>
  <c r="N201" i="2"/>
  <c r="P201" i="2"/>
  <c r="O201" i="2"/>
  <c r="P202" i="2"/>
  <c r="O202" i="2"/>
  <c r="N202" i="2"/>
  <c r="N203" i="2"/>
  <c r="O203" i="2"/>
  <c r="P203" i="2"/>
  <c r="P204" i="2"/>
  <c r="O204" i="2"/>
  <c r="N204" i="2"/>
  <c r="N205" i="2"/>
  <c r="P205" i="2"/>
  <c r="O205" i="2"/>
  <c r="P206" i="2"/>
  <c r="O206" i="2"/>
  <c r="N206" i="2"/>
  <c r="N207" i="2"/>
  <c r="P207" i="2"/>
  <c r="O207" i="2"/>
  <c r="P208" i="2"/>
  <c r="N208" i="2"/>
  <c r="O208" i="2"/>
  <c r="N209" i="2"/>
  <c r="P209" i="2"/>
  <c r="O209" i="2"/>
  <c r="P210" i="2"/>
  <c r="O210" i="2"/>
  <c r="N210" i="2"/>
  <c r="O211" i="2"/>
  <c r="N211" i="2"/>
  <c r="P211" i="2"/>
  <c r="P212" i="2"/>
  <c r="O212" i="2"/>
  <c r="N212" i="2"/>
  <c r="N213" i="2"/>
  <c r="P213" i="2"/>
  <c r="O213" i="2"/>
  <c r="P214" i="2"/>
  <c r="O214" i="2"/>
  <c r="N214" i="2"/>
  <c r="O215" i="2"/>
  <c r="N215" i="2"/>
  <c r="P215" i="2"/>
  <c r="P216" i="2"/>
  <c r="O216" i="2"/>
  <c r="N216" i="2"/>
  <c r="N217" i="2"/>
  <c r="P217" i="2"/>
  <c r="O217" i="2"/>
  <c r="P218" i="2"/>
  <c r="O218" i="2"/>
  <c r="N218" i="2"/>
  <c r="O219" i="2"/>
  <c r="N219" i="2"/>
  <c r="P219" i="2"/>
  <c r="P220" i="2"/>
  <c r="O220" i="2"/>
  <c r="N220" i="2"/>
  <c r="N221" i="2"/>
  <c r="P221" i="2"/>
  <c r="O221" i="2"/>
  <c r="P222" i="2"/>
  <c r="O222" i="2"/>
  <c r="N222" i="2"/>
  <c r="N223" i="2"/>
  <c r="O223" i="2"/>
  <c r="P223" i="2"/>
  <c r="N224" i="2"/>
  <c r="P224" i="2"/>
  <c r="O224" i="2"/>
  <c r="N225" i="2"/>
  <c r="O225" i="2"/>
  <c r="P225" i="2"/>
  <c r="P226" i="2"/>
  <c r="O226" i="2"/>
  <c r="N226" i="2"/>
  <c r="N227" i="2"/>
  <c r="O227" i="2"/>
  <c r="P227" i="2"/>
  <c r="P228" i="2"/>
  <c r="O228" i="2"/>
  <c r="N228" i="2"/>
  <c r="N229" i="2"/>
  <c r="P229" i="2"/>
  <c r="O229" i="2"/>
  <c r="P230" i="2"/>
  <c r="N230" i="2"/>
  <c r="O230" i="2"/>
  <c r="N231" i="2"/>
  <c r="P231" i="2"/>
  <c r="O231" i="2"/>
  <c r="P232" i="2"/>
  <c r="O232" i="2"/>
  <c r="N232" i="2"/>
  <c r="N233" i="2"/>
  <c r="P233" i="2"/>
  <c r="O233" i="2"/>
  <c r="P234" i="2"/>
  <c r="O234" i="2"/>
  <c r="N234" i="2"/>
  <c r="N235" i="2"/>
  <c r="O235" i="2"/>
  <c r="P235" i="2"/>
  <c r="P236" i="2"/>
  <c r="O236" i="2"/>
  <c r="N236" i="2"/>
  <c r="N237" i="2"/>
  <c r="P237" i="2"/>
  <c r="O237" i="2"/>
  <c r="P238" i="2"/>
  <c r="O238" i="2"/>
  <c r="N238" i="2"/>
  <c r="O239" i="2"/>
  <c r="P239" i="2"/>
  <c r="N239" i="2"/>
  <c r="P240" i="2"/>
  <c r="O240" i="2"/>
  <c r="N240" i="2"/>
  <c r="O241" i="2"/>
  <c r="N241" i="2"/>
  <c r="P241" i="2"/>
  <c r="P242" i="2"/>
  <c r="N242" i="2"/>
  <c r="O242" i="2"/>
  <c r="O243" i="2"/>
  <c r="N243" i="2"/>
  <c r="P243" i="2"/>
  <c r="N244" i="2"/>
  <c r="P244" i="2"/>
  <c r="O244" i="2"/>
  <c r="P245" i="2"/>
  <c r="N245" i="2"/>
  <c r="O245" i="2"/>
  <c r="P246" i="2"/>
  <c r="O246" i="2"/>
  <c r="N246" i="2"/>
  <c r="O247" i="2"/>
  <c r="N247" i="2"/>
  <c r="P247" i="2"/>
  <c r="N248" i="2"/>
  <c r="P248" i="2"/>
  <c r="O248" i="2"/>
  <c r="O249" i="2"/>
  <c r="N249" i="2"/>
  <c r="P249" i="2"/>
  <c r="P250" i="2"/>
  <c r="O250" i="2"/>
  <c r="N250" i="2"/>
  <c r="O251" i="2"/>
  <c r="N251" i="2"/>
  <c r="P251" i="2"/>
  <c r="O252" i="2"/>
  <c r="P252" i="2"/>
  <c r="N252" i="2"/>
  <c r="O253" i="2"/>
  <c r="N253" i="2"/>
  <c r="P253" i="2"/>
  <c r="P254" i="2"/>
  <c r="O254" i="2"/>
  <c r="N254" i="2"/>
  <c r="O255" i="2"/>
  <c r="N255" i="2"/>
  <c r="P255" i="2"/>
  <c r="P256" i="2"/>
  <c r="N256" i="2"/>
  <c r="O256" i="2"/>
  <c r="O257" i="2"/>
  <c r="N257" i="2"/>
  <c r="P257" i="2"/>
  <c r="P258" i="2"/>
  <c r="N258" i="2"/>
  <c r="O258" i="2"/>
  <c r="O259" i="2"/>
  <c r="N259" i="2"/>
  <c r="P259" i="2"/>
  <c r="O260" i="2"/>
  <c r="P260" i="2"/>
  <c r="N260" i="2"/>
  <c r="O261" i="2"/>
  <c r="N261" i="2"/>
  <c r="P261" i="2"/>
  <c r="P262" i="2"/>
  <c r="O262" i="2"/>
  <c r="N262" i="2"/>
  <c r="O263" i="2"/>
  <c r="N263" i="2"/>
  <c r="P263" i="2"/>
  <c r="P264" i="2"/>
  <c r="N264" i="2"/>
  <c r="O264" i="2"/>
  <c r="P265" i="2"/>
  <c r="O265" i="2"/>
  <c r="N265" i="2"/>
  <c r="P266" i="2"/>
  <c r="N266" i="2"/>
  <c r="O266" i="2"/>
  <c r="O267" i="2"/>
  <c r="N267" i="2"/>
  <c r="P267" i="2"/>
  <c r="O268" i="2"/>
  <c r="P268" i="2"/>
  <c r="N268" i="2"/>
  <c r="O269" i="2"/>
  <c r="N269" i="2"/>
  <c r="P269" i="2"/>
  <c r="P270" i="2"/>
  <c r="O270" i="2"/>
  <c r="N270" i="2"/>
  <c r="O271" i="2"/>
  <c r="N271" i="2"/>
  <c r="P271" i="2"/>
  <c r="P272" i="2"/>
  <c r="N272" i="2"/>
  <c r="O272" i="2"/>
  <c r="O273" i="2"/>
  <c r="N273" i="2"/>
  <c r="P273" i="2"/>
  <c r="P274" i="2"/>
  <c r="O274" i="2"/>
  <c r="N274" i="2"/>
  <c r="O275" i="2"/>
  <c r="N275" i="2"/>
  <c r="P275" i="2"/>
  <c r="O276" i="2"/>
  <c r="P276" i="2"/>
  <c r="N276" i="2"/>
  <c r="O277" i="2"/>
  <c r="N277" i="2"/>
  <c r="P277" i="2"/>
  <c r="P278" i="2"/>
  <c r="O278" i="2"/>
  <c r="N278" i="2"/>
  <c r="O279" i="2"/>
  <c r="N279" i="2"/>
  <c r="P279" i="2"/>
  <c r="P280" i="2"/>
  <c r="O280" i="2"/>
  <c r="N280" i="2"/>
  <c r="O281" i="2"/>
  <c r="N281" i="2"/>
  <c r="P281" i="2"/>
  <c r="P282" i="2"/>
  <c r="O282" i="2"/>
  <c r="N282" i="2"/>
  <c r="O283" i="2"/>
  <c r="N283" i="2"/>
  <c r="P283" i="2"/>
  <c r="O284" i="2"/>
  <c r="P284" i="2"/>
  <c r="N284" i="2"/>
  <c r="O285" i="2"/>
  <c r="N285" i="2"/>
  <c r="P285" i="2"/>
  <c r="P286" i="2"/>
  <c r="O286" i="2"/>
  <c r="N286" i="2"/>
  <c r="O287" i="2"/>
  <c r="N287" i="2"/>
  <c r="P287" i="2"/>
  <c r="P288" i="2"/>
  <c r="N288" i="2"/>
  <c r="O288" i="2"/>
  <c r="O289" i="2"/>
  <c r="N289" i="2"/>
  <c r="P289" i="2"/>
  <c r="P290" i="2"/>
  <c r="O290" i="2"/>
  <c r="N290" i="2"/>
  <c r="O291" i="2"/>
  <c r="N291" i="2"/>
  <c r="P291" i="2"/>
  <c r="O292" i="2"/>
  <c r="N292" i="2"/>
  <c r="P292" i="2"/>
  <c r="N293" i="2"/>
  <c r="P293" i="2"/>
  <c r="O293" i="2"/>
  <c r="O294" i="2"/>
  <c r="N294" i="2"/>
  <c r="P294" i="2"/>
  <c r="O295" i="2"/>
  <c r="N295" i="2"/>
  <c r="P295" i="2"/>
  <c r="O296" i="2"/>
  <c r="P296" i="2"/>
  <c r="N296" i="2"/>
  <c r="P297" i="2"/>
  <c r="O297" i="2"/>
  <c r="N297" i="2"/>
  <c r="O298" i="2"/>
  <c r="N298" i="2"/>
  <c r="P298" i="2"/>
  <c r="P299" i="2"/>
  <c r="O299" i="2"/>
  <c r="N299" i="2"/>
  <c r="P300" i="2"/>
  <c r="O300" i="2"/>
  <c r="N300" i="2"/>
  <c r="P301" i="2"/>
  <c r="N301" i="2"/>
  <c r="O301" i="2"/>
  <c r="O302" i="2"/>
  <c r="N302" i="2"/>
  <c r="P302" i="2"/>
  <c r="P303" i="2"/>
  <c r="O303" i="2"/>
  <c r="N303" i="2"/>
  <c r="O304" i="2"/>
  <c r="N304" i="2"/>
  <c r="P304" i="2"/>
  <c r="P305" i="2"/>
  <c r="O305" i="2"/>
  <c r="N305" i="2"/>
  <c r="O306" i="2"/>
  <c r="N306" i="2"/>
  <c r="P306" i="2"/>
  <c r="P307" i="2"/>
  <c r="O307" i="2"/>
  <c r="N307" i="2"/>
  <c r="O308" i="2"/>
  <c r="N308" i="2"/>
  <c r="P308" i="2"/>
  <c r="P309" i="2"/>
  <c r="N309" i="2"/>
  <c r="O309" i="2"/>
  <c r="O310" i="2"/>
  <c r="N310" i="2"/>
  <c r="P310" i="2"/>
  <c r="P311" i="2"/>
  <c r="O311" i="2"/>
  <c r="N311" i="2"/>
  <c r="O312" i="2"/>
  <c r="N312" i="2"/>
  <c r="P312" i="2"/>
  <c r="P313" i="2"/>
  <c r="O313" i="2"/>
  <c r="N313" i="2"/>
  <c r="O314" i="2"/>
  <c r="N314" i="2"/>
  <c r="P314" i="2"/>
  <c r="P315" i="2"/>
  <c r="O315" i="2"/>
  <c r="N315" i="2"/>
  <c r="O316" i="2"/>
  <c r="P316" i="2"/>
  <c r="N316" i="2"/>
  <c r="O317" i="2"/>
  <c r="N317" i="2"/>
  <c r="P317" i="2"/>
  <c r="N318" i="2"/>
  <c r="P318" i="2"/>
  <c r="O318" i="2"/>
  <c r="N319" i="2"/>
  <c r="O319" i="2"/>
  <c r="P319" i="2"/>
  <c r="N320" i="2"/>
  <c r="O320" i="2"/>
  <c r="P320" i="2"/>
  <c r="O321" i="2"/>
  <c r="N321" i="2"/>
  <c r="P321" i="2"/>
  <c r="N322" i="2"/>
  <c r="O322" i="2"/>
  <c r="P322" i="2"/>
  <c r="O323" i="2"/>
  <c r="P323" i="2"/>
  <c r="N323" i="2"/>
  <c r="N324" i="2"/>
  <c r="O324" i="2"/>
  <c r="P324" i="2"/>
  <c r="N325" i="2"/>
  <c r="P325" i="2"/>
  <c r="O325" i="2"/>
  <c r="N326" i="2"/>
  <c r="O326" i="2"/>
  <c r="P326" i="2"/>
  <c r="P327" i="2"/>
  <c r="O327" i="2"/>
  <c r="N327" i="2"/>
  <c r="N328" i="2"/>
  <c r="O328" i="2"/>
  <c r="P328" i="2"/>
  <c r="P329" i="2"/>
  <c r="O329" i="2"/>
  <c r="N329" i="2"/>
  <c r="N330" i="2"/>
  <c r="O330" i="2"/>
  <c r="P330" i="2"/>
  <c r="P331" i="2"/>
  <c r="O331" i="2"/>
  <c r="N331" i="2"/>
  <c r="N332" i="2"/>
  <c r="O332" i="2"/>
  <c r="P332" i="2"/>
  <c r="P333" i="2"/>
  <c r="O333" i="2"/>
  <c r="N333" i="2"/>
  <c r="N334" i="2"/>
  <c r="O334" i="2"/>
  <c r="P334" i="2"/>
  <c r="O335" i="2"/>
  <c r="P335" i="2"/>
  <c r="N335" i="2"/>
  <c r="N336" i="2"/>
  <c r="O336" i="2"/>
  <c r="P336" i="2"/>
  <c r="P337" i="2"/>
  <c r="O337" i="2"/>
  <c r="N337" i="2"/>
  <c r="N338" i="2"/>
  <c r="O338" i="2"/>
  <c r="P338" i="2"/>
  <c r="P339" i="2"/>
  <c r="O339" i="2"/>
  <c r="N339" i="2"/>
  <c r="N340" i="2"/>
  <c r="O340" i="2"/>
  <c r="P340" i="2"/>
  <c r="P341" i="2"/>
  <c r="O341" i="2"/>
  <c r="N341" i="2"/>
  <c r="N342" i="2"/>
  <c r="O342" i="2"/>
  <c r="P342" i="2"/>
  <c r="P343" i="2"/>
  <c r="O343" i="2"/>
  <c r="N343" i="2"/>
  <c r="N344" i="2"/>
  <c r="O344" i="2"/>
  <c r="P344" i="2"/>
  <c r="N345" i="2"/>
  <c r="O345" i="2"/>
  <c r="P345" i="2"/>
  <c r="P346" i="2"/>
  <c r="O346" i="2"/>
  <c r="N346" i="2"/>
  <c r="N347" i="2"/>
  <c r="P347" i="2"/>
  <c r="O347" i="2"/>
  <c r="N348" i="2"/>
  <c r="O348" i="2"/>
  <c r="P348" i="2"/>
  <c r="P349" i="2"/>
  <c r="O349" i="2"/>
  <c r="N349" i="2"/>
  <c r="F16" i="1" l="1"/>
  <c r="H16" i="1"/>
  <c r="G16" i="1"/>
</calcChain>
</file>

<file path=xl/sharedStrings.xml><?xml version="1.0" encoding="utf-8"?>
<sst xmlns="http://schemas.openxmlformats.org/spreadsheetml/2006/main" count="36" uniqueCount="35">
  <si>
    <t>项目日程表</t>
  </si>
  <si>
    <t>项目详细信息</t>
  </si>
  <si>
    <t>日期</t>
  </si>
  <si>
    <t>里程碑</t>
  </si>
  <si>
    <t>项目开始</t>
  </si>
  <si>
    <t>里程碑 1</t>
  </si>
  <si>
    <t>里程碑 2</t>
  </si>
  <si>
    <t>里程碑 3</t>
  </si>
  <si>
    <t>里程碑 4</t>
  </si>
  <si>
    <t>里程碑 5</t>
  </si>
  <si>
    <t>里程碑 6</t>
  </si>
  <si>
    <t>里程碑 7</t>
  </si>
  <si>
    <t>里程碑 8</t>
  </si>
  <si>
    <t>里程碑 9</t>
  </si>
  <si>
    <t>里程碑 10</t>
  </si>
  <si>
    <t>项目结束</t>
  </si>
  <si>
    <t>位置</t>
  </si>
  <si>
    <t>基准线</t>
  </si>
  <si>
    <t>调整位置</t>
  </si>
  <si>
    <t>调整日期</t>
  </si>
  <si>
    <t>调整的里程碑</t>
  </si>
  <si>
    <t>按时间先后顺序对日期进行排序，填写日程表</t>
  </si>
  <si>
    <t>起始行</t>
  </si>
  <si>
    <t>最后一项</t>
  </si>
  <si>
    <t>数据分析</t>
  </si>
  <si>
    <t>关联的分页符</t>
  </si>
  <si>
    <t>排名</t>
  </si>
  <si>
    <t>实际要绘制的数据，通过隐藏列 F-H 输入项目日程表工作表。</t>
  </si>
  <si>
    <t>经过排序的排名</t>
  </si>
  <si>
    <t>日期</t>
    <phoneticPr fontId="1" type="noConversion"/>
  </si>
  <si>
    <t>日期</t>
    <phoneticPr fontId="1" type="noConversion"/>
  </si>
  <si>
    <t>里程碑</t>
    <phoneticPr fontId="1" type="noConversion"/>
  </si>
  <si>
    <t>位置</t>
    <phoneticPr fontId="1" type="noConversion"/>
  </si>
  <si>
    <t>NUM</t>
    <phoneticPr fontId="1" type="noConversion"/>
  </si>
  <si>
    <t>位置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</si>
</sst>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2" formatCode="_ &quot;¥&quot;* #,##0_ ;_ &quot;¥&quot;* \-#,##0_ ;_ &quot;¥&quot;* &quot;-&quot;_ ;_ @_ "/>
    <numFmt numFmtId="41" formatCode="_ * #,##0_ ;_ * \-#,##0_ ;_ * &quot;-&quot;_ ;_ @_ "/>
    <numFmt numFmtId="44" formatCode="_ &quot;¥&quot;* #,##0.00_ ;_ &quot;¥&quot;* \-#,##0.00_ ;_ &quot;¥&quot;* &quot;-&quot;??_ ;_ @_ "/>
    <numFmt numFmtId="176" formatCode="[$-409]d\-mmm;@"/>
    <numFmt numFmtId="177" formatCode="m&quot;月&quot;d&quot;日&quot;;@"/>
    <numFmt numFmtId="178" formatCode="[$-F800]dddd\,\ mmmm\ dd\,\ yyyy"/>
    <numFmt numFmtId="179" formatCode="0_ "/>
  </numFmts>
  <fonts count="26" x14ac:knownFonts="1">
    <font>
      <sz val="11"/>
      <color theme="1" tint="0.34998626667073579"/>
      <name val="Microsoft YaHei UI"/>
      <family val="2"/>
      <charset val="134"/>
    </font>
    <font>
      <sz val="9"/>
      <name val="宋体"/>
      <family val="3"/>
      <charset val="134"/>
      <scheme val="minor"/>
    </font>
    <font>
      <sz val="11"/>
      <color theme="1" tint="0.34998626667073579"/>
      <name val="Microsoft YaHei UI"/>
      <family val="2"/>
      <charset val="134"/>
    </font>
    <font>
      <sz val="11"/>
      <color theme="1"/>
      <name val="Microsoft YaHei UI"/>
      <family val="2"/>
      <charset val="134"/>
    </font>
    <font>
      <sz val="11"/>
      <color rgb="FF9C0006"/>
      <name val="Microsoft YaHei UI"/>
      <family val="2"/>
      <charset val="134"/>
    </font>
    <font>
      <sz val="11"/>
      <color rgb="FF006100"/>
      <name val="Microsoft YaHei UI"/>
      <family val="2"/>
      <charset val="134"/>
    </font>
    <font>
      <sz val="11"/>
      <color rgb="FF9C5700"/>
      <name val="Microsoft YaHei UI"/>
      <family val="2"/>
      <charset val="134"/>
    </font>
    <font>
      <b/>
      <sz val="11"/>
      <color rgb="FFFA7D00"/>
      <name val="Microsoft YaHei UI"/>
      <family val="2"/>
      <charset val="134"/>
    </font>
    <font>
      <b/>
      <sz val="11"/>
      <color theme="0"/>
      <name val="Microsoft YaHei UI"/>
      <family val="2"/>
      <charset val="134"/>
    </font>
    <font>
      <i/>
      <sz val="11"/>
      <color rgb="FF7F7F7F"/>
      <name val="Microsoft YaHei UI"/>
      <family val="2"/>
      <charset val="134"/>
    </font>
    <font>
      <sz val="11"/>
      <color rgb="FFFF0000"/>
      <name val="Microsoft YaHei UI"/>
      <family val="2"/>
      <charset val="134"/>
    </font>
    <font>
      <sz val="11"/>
      <color rgb="FFFA7D00"/>
      <name val="Microsoft YaHei UI"/>
      <family val="2"/>
      <charset val="134"/>
    </font>
    <font>
      <b/>
      <sz val="11"/>
      <color rgb="FF3F3F3F"/>
      <name val="Microsoft YaHei UI"/>
      <family val="2"/>
      <charset val="134"/>
    </font>
    <font>
      <sz val="11"/>
      <color rgb="FF3F3F76"/>
      <name val="Microsoft YaHei UI"/>
      <family val="2"/>
      <charset val="134"/>
    </font>
    <font>
      <sz val="11"/>
      <color theme="8" tint="-0.499984740745262"/>
      <name val="Microsoft YaHei UI"/>
      <family val="2"/>
      <charset val="134"/>
    </font>
    <font>
      <b/>
      <sz val="11"/>
      <color theme="1"/>
      <name val="Microsoft YaHei UI"/>
      <family val="2"/>
      <charset val="134"/>
    </font>
    <font>
      <sz val="11"/>
      <color theme="0"/>
      <name val="Microsoft YaHei UI"/>
      <family val="2"/>
      <charset val="134"/>
    </font>
    <font>
      <sz val="11"/>
      <color theme="1" tint="0.499984740745262"/>
      <name val="Microsoft YaHei UI"/>
      <family val="2"/>
      <charset val="134"/>
    </font>
    <font>
      <sz val="12"/>
      <color theme="1" tint="0.34998626667073579"/>
      <name val="宋体"/>
      <family val="3"/>
      <charset val="134"/>
    </font>
    <font>
      <sz val="11"/>
      <color theme="1" tint="0.34998626667073579"/>
      <name val="宋体"/>
      <family val="3"/>
      <charset val="134"/>
    </font>
    <font>
      <b/>
      <sz val="10"/>
      <color theme="5"/>
      <name val="Microsoft YaHei UI"/>
      <family val="2"/>
      <charset val="134"/>
    </font>
    <font>
      <sz val="20"/>
      <color theme="6" tint="-0.499984740745262"/>
      <name val="Microsoft YaHei UI"/>
      <family val="2"/>
      <charset val="134"/>
    </font>
    <font>
      <sz val="11"/>
      <color theme="1" tint="0.34998626667073579"/>
      <name val="Microsoft YaHei UI"/>
      <family val="2"/>
      <charset val="134"/>
    </font>
    <font>
      <b/>
      <sz val="12"/>
      <color theme="1" tint="0.34998626667073579"/>
      <name val="宋体"/>
      <family val="3"/>
      <charset val="134"/>
    </font>
    <font>
      <b/>
      <sz val="20"/>
      <color theme="6" tint="-0.499984740745262"/>
      <name val="Microsoft YaHei UI"/>
      <family val="2"/>
      <charset val="134"/>
    </font>
    <font>
      <b/>
      <sz val="14"/>
      <color theme="6" tint="-0.499984740745262"/>
      <name val="Microsoft YaHei UI"/>
      <family val="2"/>
      <charset val="134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1" tint="0.499984740745262"/>
      </bottom>
      <diagonal/>
    </border>
    <border>
      <left/>
      <right/>
      <top/>
      <bottom style="thick">
        <color theme="6" tint="-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8">
    <xf numFmtId="0" fontId="0" fillId="0" borderId="0">
      <alignment horizontal="left" vertical="center" wrapText="1" indent="2"/>
    </xf>
    <xf numFmtId="0" fontId="24" fillId="0" borderId="2" applyNumberFormat="0" applyFill="0" applyProtection="0">
      <alignment vertical="center"/>
    </xf>
    <xf numFmtId="0" fontId="25" fillId="0" borderId="0" applyNumberFormat="0" applyFill="0" applyBorder="0" applyAlignment="0" applyProtection="0"/>
    <xf numFmtId="0" fontId="18" fillId="0" borderId="0" applyNumberFormat="0" applyFill="0" applyBorder="0" applyProtection="0">
      <alignment horizontal="left" vertical="center" indent="2"/>
    </xf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79" fontId="17" fillId="0" borderId="0" applyFill="0" applyBorder="0" applyProtection="0">
      <alignment horizontal="center" vertical="center"/>
    </xf>
    <xf numFmtId="176" fontId="2" fillId="0" borderId="0" applyFill="0" applyBorder="0" applyAlignment="0">
      <alignment horizontal="left" vertical="center" wrapText="1" indent="2"/>
    </xf>
    <xf numFmtId="41" fontId="2" fillId="0" borderId="0" applyFill="0" applyBorder="0" applyAlignment="0" applyProtection="0">
      <alignment vertical="center"/>
    </xf>
    <xf numFmtId="44" fontId="2" fillId="0" borderId="0" applyFill="0" applyBorder="0" applyAlignment="0" applyProtection="0">
      <alignment vertical="center"/>
    </xf>
    <xf numFmtId="42" fontId="2" fillId="0" borderId="0" applyFill="0" applyBorder="0" applyAlignment="0" applyProtection="0">
      <alignment vertical="center"/>
    </xf>
    <xf numFmtId="9" fontId="2" fillId="0" borderId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13" fillId="6" borderId="3" applyNumberFormat="0" applyAlignment="0" applyProtection="0">
      <alignment vertical="center"/>
    </xf>
    <xf numFmtId="0" fontId="12" fillId="7" borderId="4" applyNumberFormat="0" applyAlignment="0" applyProtection="0">
      <alignment vertical="center"/>
    </xf>
    <xf numFmtId="0" fontId="7" fillId="7" borderId="3" applyNumberFormat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8" fillId="8" borderId="6" applyNumberForma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2" fillId="9" borderId="7" applyNumberForma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</cellStyleXfs>
  <cellXfs count="22">
    <xf numFmtId="0" fontId="0" fillId="0" borderId="0" xfId="0">
      <alignment horizontal="left" vertical="center" wrapText="1" indent="2"/>
    </xf>
    <xf numFmtId="0" fontId="0" fillId="2" borderId="0" xfId="0" applyFill="1" applyAlignment="1">
      <alignment vertical="center"/>
    </xf>
    <xf numFmtId="0" fontId="0" fillId="2" borderId="0" xfId="0" applyFill="1">
      <alignment horizontal="left" vertical="center" wrapText="1" indent="2"/>
    </xf>
    <xf numFmtId="0" fontId="0" fillId="2" borderId="0" xfId="0" applyFill="1" applyAlignment="1">
      <alignment horizontal="left" vertical="center"/>
    </xf>
    <xf numFmtId="0" fontId="0" fillId="2" borderId="0" xfId="0" applyNumberFormat="1" applyFill="1">
      <alignment horizontal="left" vertical="center" wrapText="1" indent="2"/>
    </xf>
    <xf numFmtId="14" fontId="0" fillId="2" borderId="0" xfId="0" applyNumberFormat="1" applyFill="1">
      <alignment horizontal="left" vertical="center" wrapText="1" indent="2"/>
    </xf>
    <xf numFmtId="178" fontId="0" fillId="2" borderId="0" xfId="0" applyNumberFormat="1" applyFill="1" applyAlignment="1">
      <alignment horizontal="left" vertical="center"/>
    </xf>
    <xf numFmtId="0" fontId="19" fillId="2" borderId="0" xfId="0" applyFont="1" applyFill="1" applyAlignment="1">
      <alignment vertical="center"/>
    </xf>
    <xf numFmtId="0" fontId="20" fillId="2" borderId="1" xfId="0" applyFont="1" applyFill="1" applyBorder="1" applyAlignment="1">
      <alignment vertical="center"/>
    </xf>
    <xf numFmtId="0" fontId="21" fillId="0" borderId="2" xfId="1" applyFont="1" applyFill="1">
      <alignment vertical="center"/>
    </xf>
    <xf numFmtId="0" fontId="22" fillId="0" borderId="0" xfId="0" applyFont="1">
      <alignment horizontal="left" vertical="center" wrapText="1" indent="2"/>
    </xf>
    <xf numFmtId="0" fontId="21" fillId="0" borderId="2" xfId="1" applyFont="1">
      <alignment vertical="center"/>
    </xf>
    <xf numFmtId="0" fontId="22" fillId="0" borderId="0" xfId="0" applyFont="1" applyFill="1" applyBorder="1">
      <alignment horizontal="left" vertical="center" wrapText="1" indent="2"/>
    </xf>
    <xf numFmtId="0" fontId="22" fillId="0" borderId="0" xfId="0" applyFont="1" applyAlignment="1">
      <alignment horizontal="center"/>
    </xf>
    <xf numFmtId="0" fontId="23" fillId="0" borderId="0" xfId="3" applyFont="1">
      <alignment horizontal="left" vertical="center" indent="2"/>
    </xf>
    <xf numFmtId="177" fontId="22" fillId="0" borderId="0" xfId="0" applyNumberFormat="1" applyFont="1" applyAlignment="1">
      <alignment horizontal="left" vertical="center" indent="2"/>
    </xf>
    <xf numFmtId="0" fontId="22" fillId="0" borderId="0" xfId="0" applyNumberFormat="1" applyFont="1">
      <alignment horizontal="left" vertical="center" wrapText="1" indent="2"/>
    </xf>
    <xf numFmtId="0" fontId="24" fillId="0" borderId="2" xfId="1" applyFill="1">
      <alignment vertical="center"/>
    </xf>
    <xf numFmtId="0" fontId="25" fillId="0" borderId="0" xfId="2" applyFill="1" applyBorder="1" applyAlignment="1">
      <alignment horizontal="left"/>
    </xf>
    <xf numFmtId="178" fontId="22" fillId="0" borderId="0" xfId="0" applyNumberFormat="1" applyFont="1">
      <alignment horizontal="left" vertical="center" wrapText="1" indent="2"/>
    </xf>
    <xf numFmtId="0" fontId="0" fillId="0" borderId="0" xfId="0" applyAlignment="1">
      <alignment horizontal="center" vertical="center" wrapText="1"/>
    </xf>
    <xf numFmtId="179" fontId="2" fillId="0" borderId="0" xfId="6" applyNumberFormat="1" applyFont="1">
      <alignment horizontal="center" vertical="center"/>
    </xf>
  </cellXfs>
  <cellStyles count="48">
    <cellStyle name="20% - 着色 1" xfId="25" builtinId="30" customBuiltin="1"/>
    <cellStyle name="20% - 着色 2" xfId="29" builtinId="34" customBuiltin="1"/>
    <cellStyle name="20% - 着色 3" xfId="33" builtinId="38" customBuiltin="1"/>
    <cellStyle name="20% - 着色 4" xfId="37" builtinId="42" customBuiltin="1"/>
    <cellStyle name="20% - 着色 5" xfId="41" builtinId="46" customBuiltin="1"/>
    <cellStyle name="20% - 着色 6" xfId="45" builtinId="50" customBuiltin="1"/>
    <cellStyle name="40% - 着色 1" xfId="26" builtinId="31" customBuiltin="1"/>
    <cellStyle name="40% - 着色 2" xfId="30" builtinId="35" customBuiltin="1"/>
    <cellStyle name="40% - 着色 3" xfId="34" builtinId="39" customBuiltin="1"/>
    <cellStyle name="40% - 着色 4" xfId="38" builtinId="43" customBuiltin="1"/>
    <cellStyle name="40% - 着色 5" xfId="42" builtinId="47" customBuiltin="1"/>
    <cellStyle name="40% - 着色 6" xfId="46" builtinId="51" customBuiltin="1"/>
    <cellStyle name="60% - 着色 1" xfId="27" builtinId="32" customBuiltin="1"/>
    <cellStyle name="60% - 着色 2" xfId="31" builtinId="36" customBuiltin="1"/>
    <cellStyle name="60% - 着色 3" xfId="35" builtinId="40" customBuiltin="1"/>
    <cellStyle name="60% - 着色 4" xfId="39" builtinId="44" customBuiltin="1"/>
    <cellStyle name="60% - 着色 5" xfId="43" builtinId="48" customBuiltin="1"/>
    <cellStyle name="60% - 着色 6" xfId="47" builtinId="52" customBuiltin="1"/>
    <cellStyle name="百分比" xfId="11" builtinId="5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13" builtinId="27" customBuiltin="1"/>
    <cellStyle name="常规" xfId="0" builtinId="0" customBuiltin="1"/>
    <cellStyle name="好" xfId="12" builtinId="26" customBuiltin="1"/>
    <cellStyle name="汇总" xfId="23" builtinId="25" customBuiltin="1"/>
    <cellStyle name="货币" xfId="9" builtinId="4" customBuiltin="1"/>
    <cellStyle name="货币[0]" xfId="10" builtinId="7" customBuiltin="1"/>
    <cellStyle name="计算" xfId="17" builtinId="22" customBuiltin="1"/>
    <cellStyle name="检查单元格" xfId="19" builtinId="23" customBuiltin="1"/>
    <cellStyle name="解释性文本" xfId="22" builtinId="53" customBuiltin="1"/>
    <cellStyle name="警告文本" xfId="20" builtinId="11" customBuiltin="1"/>
    <cellStyle name="链接单元格" xfId="18" builtinId="24" customBuiltin="1"/>
    <cellStyle name="千位分隔" xfId="6" builtinId="3" customBuiltin="1"/>
    <cellStyle name="千位分隔[0]" xfId="8" builtinId="6" customBuiltin="1"/>
    <cellStyle name="日期" xfId="7"/>
    <cellStyle name="适中" xfId="14" builtinId="28" customBuiltin="1"/>
    <cellStyle name="输出" xfId="16" builtinId="21" customBuiltin="1"/>
    <cellStyle name="输入" xfId="15" builtinId="20" customBuiltin="1"/>
    <cellStyle name="着色 1" xfId="24" builtinId="29" customBuiltin="1"/>
    <cellStyle name="着色 2" xfId="28" builtinId="33" customBuiltin="1"/>
    <cellStyle name="着色 3" xfId="32" builtinId="37" customBuiltin="1"/>
    <cellStyle name="着色 4" xfId="36" builtinId="41" customBuiltin="1"/>
    <cellStyle name="着色 5" xfId="40" builtinId="45" customBuiltin="1"/>
    <cellStyle name="着色 6" xfId="44" builtinId="49" customBuiltin="1"/>
    <cellStyle name="注释" xfId="21" builtinId="10" customBuiltin="1"/>
  </cellStyles>
  <dxfs count="26">
    <dxf>
      <font>
        <strike val="0"/>
        <outline val="0"/>
        <shadow val="0"/>
        <u val="none"/>
        <vertAlign val="baseline"/>
        <sz val="11"/>
        <color theme="1" tint="0.34998626667073579"/>
        <name val="Microsoft YaHei UI"/>
        <family val="2"/>
        <charset val="134"/>
        <scheme val="none"/>
      </font>
      <numFmt numFmtId="179" formatCode="0_ "/>
    </dxf>
    <dxf>
      <alignment horizontal="center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numFmt numFmtId="178" formatCode="[$-F800]dddd\,\ mmmm\ dd\,\ yyyy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border outline="0">
        <top style="thick">
          <color theme="3"/>
        </top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theme="1" tint="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5"/>
        <name val="Microsoft YaHei UI"/>
        <family val="2"/>
        <charset val="134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</dxf>
    <dxf>
      <numFmt numFmtId="178" formatCode="[$-F800]dddd\,\ mmmm\ dd\,\ yyyy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 tint="0.34998626667073579"/>
        <name val="宋体"/>
        <charset val="134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178" formatCode="[$-F800]dddd\,\ mmmm\ dd\,\ yyyy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  <numFmt numFmtId="177" formatCode="m&quot;月&quot;d&quot;日&quot;;@"/>
      <alignment horizontal="left" vertical="center" textRotation="0" wrapText="0" indent="2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b/>
      </font>
    </dxf>
    <dxf>
      <font>
        <b/>
        <i val="0"/>
        <color theme="1" tint="0.34998626667073579"/>
      </font>
      <fill>
        <patternFill>
          <bgColor theme="0"/>
        </patternFill>
      </fill>
      <border>
        <bottom style="medium">
          <color theme="6" tint="-0.499984740745262"/>
        </bottom>
      </border>
    </dxf>
    <dxf>
      <font>
        <color theme="1" tint="0.14996795556505021"/>
      </font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 style="thin">
          <color theme="0" tint="-0.14996795556505021"/>
        </horizontal>
      </border>
    </dxf>
  </dxfs>
  <tableStyles count="1" defaultTableStyle="项目日程表" defaultPivotStyle="PivotStyleLight16">
    <tableStyle name="项目日程表" pivot="0" count="2">
      <tableStyleElement type="wholeTable" dxfId="25"/>
      <tableStyleElement type="headerRow" dxfId="2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399308576993913E-2"/>
          <c:y val="3.9426523297491037E-2"/>
          <c:w val="0.87774435881027235"/>
          <c:h val="0.9211469534050179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项目日程表!$D$4</c:f>
              <c:strCache>
                <c:ptCount val="1"/>
                <c:pt idx="0">
                  <c:v>位置</c:v>
                </c:pt>
              </c:strCache>
            </c:strRef>
          </c:tx>
          <c:spPr>
            <a:noFill/>
          </c:spPr>
          <c:invertIfNegative val="0"/>
          <c:dLbls>
            <c:dLbl>
              <c:idx val="0"/>
              <c:layout>
                <c:manualLayout>
                  <c:x val="4.7163915818921949E-8"/>
                  <c:y val="-8.2121881209074843E-18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DE9-4AB6-AE0B-C29C043761D6}"/>
                </c:ext>
              </c:extLst>
            </c:dLbl>
            <c:dLbl>
              <c:idx val="1"/>
              <c:layout>
                <c:manualLayout>
                  <c:x val="4.71639158093134E-8"/>
                  <c:y val="0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DE9-4AB6-AE0B-C29C043761D6}"/>
                </c:ext>
              </c:extLst>
            </c:dLbl>
            <c:dLbl>
              <c:idx val="2"/>
              <c:layout>
                <c:manualLayout>
                  <c:x val="4.71639158093134E-8"/>
                  <c:y val="0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E9-4AB6-AE0B-C29C043761D6}"/>
                </c:ext>
              </c:extLst>
            </c:dLbl>
            <c:dLbl>
              <c:idx val="3"/>
              <c:layout>
                <c:manualLayout>
                  <c:x val="4.7163915820294599E-8"/>
                  <c:y val="-3.2848752483629937E-17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E9-4AB6-AE0B-C29C043761D6}"/>
                </c:ext>
              </c:extLst>
            </c:dLbl>
            <c:dLbl>
              <c:idx val="4"/>
              <c:layout>
                <c:manualLayout>
                  <c:x val="4.7163915820294599E-8"/>
                  <c:y val="1.3139500993451975E-16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E9-4AB6-AE0B-C29C043761D6}"/>
                </c:ext>
              </c:extLst>
            </c:dLbl>
            <c:dLbl>
              <c:idx val="5"/>
              <c:layout>
                <c:manualLayout>
                  <c:x val="4.7163915820294599E-8"/>
                  <c:y val="-3.2848752483629937E-17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DE9-4AB6-AE0B-C29C043761D6}"/>
                </c:ext>
              </c:extLst>
            </c:dLbl>
            <c:dLbl>
              <c:idx val="6"/>
              <c:layout>
                <c:manualLayout>
                  <c:x val="4.7163915820294599E-8"/>
                  <c:y val="1.3139500993451975E-16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E9-4AB6-AE0B-C29C043761D6}"/>
                </c:ext>
              </c:extLst>
            </c:dLbl>
            <c:dLbl>
              <c:idx val="7"/>
              <c:layout>
                <c:manualLayout>
                  <c:x val="4.7163915820294599E-8"/>
                  <c:y val="-3.2848752483629937E-17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DE9-4AB6-AE0B-C29C043761D6}"/>
                </c:ext>
              </c:extLst>
            </c:dLbl>
            <c:dLbl>
              <c:idx val="8"/>
              <c:layout>
                <c:manualLayout>
                  <c:x val="4.7163915820294599E-8"/>
                  <c:y val="0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E9-4AB6-AE0B-C29C043761D6}"/>
                </c:ext>
              </c:extLst>
            </c:dLbl>
            <c:dLbl>
              <c:idx val="9"/>
              <c:layout>
                <c:manualLayout>
                  <c:x val="4.7163915820294599E-8"/>
                  <c:y val="-1.6424376241814969E-17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DE9-4AB6-AE0B-C29C043761D6}"/>
                </c:ext>
              </c:extLst>
            </c:dLbl>
            <c:dLbl>
              <c:idx val="10"/>
              <c:layout>
                <c:manualLayout>
                  <c:x val="4.7163915908144244E-8"/>
                  <c:y val="1.3139500993451975E-16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DE9-4AB6-AE0B-C29C043761D6}"/>
                </c:ext>
              </c:extLst>
            </c:dLbl>
            <c:dLbl>
              <c:idx val="11"/>
              <c:layout>
                <c:manualLayout>
                  <c:x val="4.7163915820294599E-8"/>
                  <c:y val="-3.2848752483629937E-17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DE9-4AB6-AE0B-C29C043761D6}"/>
                </c:ext>
              </c:extLst>
            </c:dLbl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txPr>
              <a:bodyPr vertOverflow="overflow" horzOverflow="overflow" wrap="square" lIns="38100" tIns="19050" rIns="38100" bIns="19050" anchor="ctr">
                <a:noAutofit/>
              </a:bodyPr>
              <a:lstStyle/>
              <a:p>
                <a:pPr>
                  <a:defRPr sz="1100" b="1" cap="all" spc="1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Microsoft YaHei UI" panose="020B0503020204020204" pitchFamily="34" charset="-122"/>
                    <a:ea typeface="Microsoft YaHei UI" panose="020B0503020204020204" pitchFamily="34" charset="-122"/>
                  </a:defRPr>
                </a:pPr>
                <a:endParaRPr lang="zh-CN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errBars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</c:spPr>
          </c:errBars>
          <c:cat>
            <c:strRef>
              <c:f>项目日程表!$C$5:$C$16</c:f>
              <c:strCache>
                <c:ptCount val="12"/>
                <c:pt idx="0">
                  <c:v>项目开始</c:v>
                </c:pt>
                <c:pt idx="1">
                  <c:v>里程碑 1</c:v>
                </c:pt>
                <c:pt idx="2">
                  <c:v>里程碑 2</c:v>
                </c:pt>
                <c:pt idx="3">
                  <c:v>里程碑 3</c:v>
                </c:pt>
                <c:pt idx="4">
                  <c:v>里程碑 4</c:v>
                </c:pt>
                <c:pt idx="5">
                  <c:v>里程碑 5</c:v>
                </c:pt>
                <c:pt idx="6">
                  <c:v>里程碑 6</c:v>
                </c:pt>
                <c:pt idx="7">
                  <c:v>里程碑 7</c:v>
                </c:pt>
                <c:pt idx="8">
                  <c:v>里程碑 8</c:v>
                </c:pt>
                <c:pt idx="9">
                  <c:v>里程碑 9</c:v>
                </c:pt>
                <c:pt idx="10">
                  <c:v>里程碑 10</c:v>
                </c:pt>
                <c:pt idx="11">
                  <c:v>项目结束</c:v>
                </c:pt>
              </c:strCache>
            </c:strRef>
          </c:cat>
          <c:val>
            <c:numRef>
              <c:f>项目日程表!$F$5:$F$16</c:f>
              <c:numCache>
                <c:formatCode>General</c:formatCode>
                <c:ptCount val="12"/>
                <c:pt idx="0">
                  <c:v>25</c:v>
                </c:pt>
                <c:pt idx="1">
                  <c:v>-10</c:v>
                </c:pt>
                <c:pt idx="2">
                  <c:v>10</c:v>
                </c:pt>
                <c:pt idx="3">
                  <c:v>15</c:v>
                </c:pt>
                <c:pt idx="4">
                  <c:v>-15</c:v>
                </c:pt>
                <c:pt idx="5">
                  <c:v>15</c:v>
                </c:pt>
                <c:pt idx="6">
                  <c:v>-15</c:v>
                </c:pt>
                <c:pt idx="7">
                  <c:v>15</c:v>
                </c:pt>
                <c:pt idx="8">
                  <c:v>-20</c:v>
                </c:pt>
                <c:pt idx="9">
                  <c:v>20</c:v>
                </c:pt>
                <c:pt idx="10">
                  <c:v>-15</c:v>
                </c:pt>
                <c:pt idx="1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DE9-4AB6-AE0B-C29C04376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3997272"/>
        <c:axId val="713996880"/>
      </c:barChart>
      <c:lineChart>
        <c:grouping val="standard"/>
        <c:varyColors val="0"/>
        <c:ser>
          <c:idx val="0"/>
          <c:order val="0"/>
          <c:tx>
            <c:strRef>
              <c:f>项目日程表!$B$4</c:f>
              <c:strCache>
                <c:ptCount val="1"/>
                <c:pt idx="0">
                  <c:v>日期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  <a:ln w="63500" cmpd="thinThick"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5"/>
          </c:errBars>
          <c:cat>
            <c:numRef>
              <c:f>项目日程表!$B$5:$B$16</c:f>
              <c:numCache>
                <c:formatCode>m"月"d"日";@</c:formatCode>
                <c:ptCount val="12"/>
                <c:pt idx="0">
                  <c:v>42758</c:v>
                </c:pt>
                <c:pt idx="1">
                  <c:v>42790</c:v>
                </c:pt>
                <c:pt idx="2">
                  <c:v>42790</c:v>
                </c:pt>
                <c:pt idx="3">
                  <c:v>42795</c:v>
                </c:pt>
                <c:pt idx="4">
                  <c:v>42809</c:v>
                </c:pt>
                <c:pt idx="5">
                  <c:v>42870</c:v>
                </c:pt>
                <c:pt idx="6">
                  <c:v>42901</c:v>
                </c:pt>
                <c:pt idx="7">
                  <c:v>42916</c:v>
                </c:pt>
                <c:pt idx="8">
                  <c:v>42931</c:v>
                </c:pt>
                <c:pt idx="9">
                  <c:v>42946</c:v>
                </c:pt>
                <c:pt idx="10">
                  <c:v>43031</c:v>
                </c:pt>
                <c:pt idx="11">
                  <c:v>43100</c:v>
                </c:pt>
              </c:numCache>
            </c:numRef>
          </c:cat>
          <c:val>
            <c:numRef>
              <c:f>项目日程表!$E$5:$E$16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D-2DE9-4AB6-AE0B-C29C04376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5587272"/>
        <c:axId val="713996488"/>
      </c:lineChart>
      <c:dateAx>
        <c:axId val="825587272"/>
        <c:scaling>
          <c:orientation val="minMax"/>
        </c:scaling>
        <c:delete val="0"/>
        <c:axPos val="b"/>
        <c:numFmt formatCode="m&quot;月&quot;d&quot;日&quot;;@" sourceLinked="0"/>
        <c:majorTickMark val="cross"/>
        <c:minorTickMark val="in"/>
        <c:tickLblPos val="nextTo"/>
        <c:spPr>
          <a:solidFill>
            <a:schemeClr val="bg1">
              <a:lumMod val="95000"/>
            </a:schemeClr>
          </a:solidFill>
          <a:ln w="9525">
            <a:solidFill>
              <a:schemeClr val="bg1">
                <a:lumMod val="85000"/>
              </a:schemeClr>
            </a:solidFill>
            <a:prstDash val="solid"/>
          </a:ln>
        </c:spPr>
        <c:txPr>
          <a:bodyPr/>
          <a:lstStyle/>
          <a:p>
            <a:pPr>
              <a:defRPr sz="1100" b="1">
                <a:solidFill>
                  <a:schemeClr val="tx1">
                    <a:lumMod val="65000"/>
                    <a:lumOff val="3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</a:defRPr>
            </a:pPr>
            <a:endParaRPr lang="zh-CN"/>
          </a:p>
        </c:txPr>
        <c:crossAx val="713996488"/>
        <c:crosses val="autoZero"/>
        <c:auto val="1"/>
        <c:lblOffset val="100"/>
        <c:baseTimeUnit val="days"/>
        <c:majorUnit val="1"/>
        <c:majorTimeUnit val="months"/>
        <c:minorUnit val="7"/>
        <c:minorTimeUnit val="days"/>
      </c:dateAx>
      <c:valAx>
        <c:axId val="71399648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825587272"/>
        <c:crosses val="autoZero"/>
        <c:crossBetween val="midCat"/>
      </c:valAx>
      <c:valAx>
        <c:axId val="71399688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713997272"/>
        <c:crosses val="max"/>
        <c:crossBetween val="between"/>
      </c:valAx>
      <c:catAx>
        <c:axId val="713997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3996880"/>
        <c:crosses val="autoZero"/>
        <c:auto val="1"/>
        <c:lblAlgn val="ctr"/>
        <c:lblOffset val="100"/>
        <c:noMultiLvlLbl val="0"/>
      </c:catAx>
      <c:spPr>
        <a:noFill/>
      </c:spPr>
    </c:plotArea>
    <c:plotVisOnly val="0"/>
    <c:dispBlanksAs val="gap"/>
    <c:showDLblsOverMax val="0"/>
  </c:chart>
  <c:spPr>
    <a:solidFill>
      <a:schemeClr val="bg1">
        <a:lumMod val="95000"/>
      </a:schemeClr>
    </a:solidFill>
    <a:ln>
      <a:noFill/>
    </a:ln>
  </c:spPr>
  <c:printSettings>
    <c:headerFooter/>
    <c:pageMargins b="0.75" l="0.7" r="0.7" t="0.75" header="0.3" footer="0.3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42182</xdr:rowOff>
    </xdr:from>
    <xdr:to>
      <xdr:col>9</xdr:col>
      <xdr:colOff>9525</xdr:colOff>
      <xdr:row>1</xdr:row>
      <xdr:rowOff>3586162</xdr:rowOff>
    </xdr:to>
    <xdr:graphicFrame macro="">
      <xdr:nvGraphicFramePr>
        <xdr:cNvPr id="11" name="项目日程表" descr="绘制项目详细信息的日程表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ProjectDetails" displayName="ProjectDetails" ref="B4:H16" totalsRowShown="0" headerRowDxfId="23" dataDxfId="22" headerRowCellStyle="标题 2">
  <tableColumns count="7">
    <tableColumn id="1" name="日期" dataDxfId="21"/>
    <tableColumn id="2" name="里程碑" dataCellStyle="常规"/>
    <tableColumn id="4" name="位置" dataDxfId="0" dataCellStyle="千位分隔"/>
    <tableColumn id="5" name="基准线" dataDxfId="1" dataCellStyle="常规">
      <calculatedColumnFormula>IF(ISBLANK(ProjectDetails[[#This Row],[日期]]),"",0)</calculatedColumnFormula>
    </tableColumn>
    <tableColumn id="3" name="调整位置" dataDxfId="20">
      <calculatedColumnFormula>IFERROR(IF(排序后的项目日期!P5="",5,排序后的项目日期!P5),0)</calculatedColumnFormula>
    </tableColumn>
    <tableColumn id="6" name="调整日期" dataDxfId="19">
      <calculatedColumnFormula>IFERROR(IF(排序后的项目日期!N5="",项目结束,排序后的项目日期!N5),项目结束)</calculatedColumnFormula>
    </tableColumn>
    <tableColumn id="7" name="调整的里程碑" dataDxfId="18">
      <calculatedColumnFormula>IFERROR(IF(排序后的项目日期!O5="","",排序后的项目日期!O5),"")</calculatedColumnFormula>
    </tableColumn>
  </tableColumns>
  <tableStyleInfo name="项目日程表" showFirstColumn="0" showLastColumn="0" showRowStripes="1" showColumnStripes="0"/>
  <extLst>
    <ext xmlns:x14="http://schemas.microsoft.com/office/spreadsheetml/2009/9/main" uri="{504A1905-F514-4f6f-8877-14C23A59335A}">
      <x14:table altTextSummary="在此表格中输入日期、里程碑和图表位置"/>
    </ext>
  </extLst>
</table>
</file>

<file path=xl/tables/table2.xml><?xml version="1.0" encoding="utf-8"?>
<table xmlns="http://schemas.openxmlformats.org/spreadsheetml/2006/main" id="2" name="ProjectTimelineData" displayName="ProjectTimelineData" ref="E4:J349" totalsRowShown="0" headerRowDxfId="17" dataDxfId="16">
  <autoFilter ref="E4:J349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关联的分页符" dataDxfId="15">
      <calculatedColumnFormula>IFERROR(RANK(F5,ProjectTimelineData[排名])+SUMPRODUCT(--(F5=ProjectTimelineData[排名]),--(J5&lt;ProjectTimelineData[NUM])),"")</calculatedColumnFormula>
    </tableColumn>
    <tableColumn id="2" name="排名" dataDxfId="14">
      <calculatedColumnFormula>IFERROR(RANK(ProjectTimelineData[[#This Row],[日期]],ProjectTimelineData[日期],1),"")</calculatedColumnFormula>
    </tableColumn>
    <tableColumn id="3" name="日期" dataDxfId="13"/>
    <tableColumn id="4" name="里程碑" dataDxfId="12"/>
    <tableColumn id="5" name="位置" dataDxfId="11"/>
    <tableColumn id="6" name="NUM" dataDxfId="10">
      <calculatedColumnFormula>IFERROR(IF(Project_last_entry-Project_start_row=0,0,Project_last_entry-Project_start_row),0)</calculatedColumnFormula>
    </tableColumn>
  </tableColumns>
  <tableStyleInfo name="项目日程表" showFirstColumn="0" showLastColumn="0" showRowStripes="1" showColumnStripes="0"/>
</table>
</file>

<file path=xl/tables/table3.xml><?xml version="1.0" encoding="utf-8"?>
<table xmlns="http://schemas.openxmlformats.org/spreadsheetml/2006/main" id="3" name="SortedTimeline" displayName="SortedTimeline" ref="M4:P349" totalsRowShown="0" headerRowDxfId="9" dataDxfId="7" headerRowBorderDxfId="8" tableBorderDxfId="6">
  <autoFilter ref="M4:P349">
    <filterColumn colId="0" hiddenButton="1"/>
    <filterColumn colId="1" hiddenButton="1"/>
    <filterColumn colId="2" hiddenButton="1"/>
    <filterColumn colId="3" hiddenButton="1"/>
  </autoFilter>
  <tableColumns count="4">
    <tableColumn id="2" name="经过排序的排名" dataDxfId="5">
      <calculatedColumnFormula>IFERROR(ProjectTimelineData[NUM]+1,"")</calculatedColumnFormula>
    </tableColumn>
    <tableColumn id="3" name="日期" dataDxfId="4">
      <calculatedColumnFormula>IFERROR(VLOOKUP(SortedTimeline[经过排序的排名],ProjectTimelineData[],3,0),"")</calculatedColumnFormula>
    </tableColumn>
    <tableColumn id="4" name="里程碑" dataDxfId="3">
      <calculatedColumnFormula>IFERROR(VLOOKUP(SortedTimeline[经过排序的排名],ProjectTimelineData[],4,0),"")</calculatedColumnFormula>
    </tableColumn>
    <tableColumn id="5" name="位置" dataDxfId="2">
      <calculatedColumnFormula>IFERROR(VLOOKUP(SortedTimeline[经过排序的排名],ProjectTimelineData[],5,0),"")</calculatedColumnFormula>
    </tableColumn>
  </tableColumns>
  <tableStyleInfo name="项目日程表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Project Timeline V2">
      <a:dk1>
        <a:sysClr val="windowText" lastClr="000000"/>
      </a:dk1>
      <a:lt1>
        <a:sysClr val="window" lastClr="FFFFFF"/>
      </a:lt1>
      <a:dk2>
        <a:srgbClr val="1E1A12"/>
      </a:dk2>
      <a:lt2>
        <a:srgbClr val="FBFCF4"/>
      </a:lt2>
      <a:accent1>
        <a:srgbClr val="F65242"/>
      </a:accent1>
      <a:accent2>
        <a:srgbClr val="70B5CF"/>
      </a:accent2>
      <a:accent3>
        <a:srgbClr val="FFD331"/>
      </a:accent3>
      <a:accent4>
        <a:srgbClr val="60B6AC"/>
      </a:accent4>
      <a:accent5>
        <a:srgbClr val="ED9535"/>
      </a:accent5>
      <a:accent6>
        <a:srgbClr val="AD7A99"/>
      </a:accent6>
      <a:hlink>
        <a:srgbClr val="70B5CF"/>
      </a:hlink>
      <a:folHlink>
        <a:srgbClr val="AD7A99"/>
      </a:folHlink>
    </a:clrScheme>
    <a:fontScheme name="Project Timeline 2">
      <a:majorFont>
        <a:latin typeface="Franklin Gothic Medium"/>
        <a:ea typeface=""/>
        <a:cs typeface=""/>
      </a:majorFont>
      <a:minorFont>
        <a:latin typeface="Bookman Old Style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-0.499984740745262"/>
    <pageSetUpPr fitToPage="1"/>
  </sheetPr>
  <dimension ref="A1:I16"/>
  <sheetViews>
    <sheetView showGridLines="0" tabSelected="1" zoomScaleNormal="100" workbookViewId="0"/>
  </sheetViews>
  <sheetFormatPr defaultRowHeight="30" customHeight="1" x14ac:dyDescent="0.3"/>
  <cols>
    <col min="1" max="1" width="2.77734375" style="10" customWidth="1"/>
    <col min="2" max="2" width="15.6640625" style="10" customWidth="1"/>
    <col min="3" max="3" width="35.77734375" style="10" customWidth="1"/>
    <col min="4" max="4" width="8.6640625" style="10" customWidth="1"/>
    <col min="5" max="5" width="6.88671875" style="10" hidden="1" customWidth="1"/>
    <col min="6" max="6" width="12.21875" style="10" hidden="1" customWidth="1"/>
    <col min="7" max="7" width="17.88671875" style="10" hidden="1" customWidth="1"/>
    <col min="8" max="8" width="16.109375" style="10" hidden="1" customWidth="1"/>
    <col min="9" max="9" width="43.88671875" style="10" customWidth="1"/>
    <col min="10" max="10" width="2.77734375" style="10" customWidth="1"/>
    <col min="11" max="11" width="8.88671875" style="10"/>
    <col min="12" max="12" width="11.88671875" style="10" customWidth="1"/>
    <col min="13" max="13" width="2.77734375" style="10" customWidth="1"/>
    <col min="14" max="16384" width="8.88671875" style="10"/>
  </cols>
  <sheetData>
    <row r="1" spans="1:9" ht="35.1" customHeight="1" thickBot="1" x14ac:dyDescent="0.35">
      <c r="A1" s="9"/>
      <c r="B1" s="17" t="s">
        <v>0</v>
      </c>
      <c r="C1" s="9"/>
      <c r="D1" s="9"/>
      <c r="E1" s="9"/>
      <c r="F1" s="9"/>
      <c r="G1" s="9"/>
      <c r="H1" s="9"/>
      <c r="I1" s="9"/>
    </row>
    <row r="2" spans="1:9" ht="285" customHeight="1" thickTop="1" thickBot="1" x14ac:dyDescent="0.35">
      <c r="A2" s="11"/>
      <c r="B2" s="11"/>
      <c r="C2" s="11"/>
      <c r="D2" s="11"/>
      <c r="E2" s="11"/>
      <c r="F2" s="11"/>
      <c r="G2" s="11"/>
      <c r="H2" s="11"/>
      <c r="I2" s="11"/>
    </row>
    <row r="3" spans="1:9" ht="33.75" customHeight="1" thickTop="1" x14ac:dyDescent="0.4">
      <c r="B3" s="18" t="s">
        <v>1</v>
      </c>
      <c r="C3" s="12"/>
      <c r="D3" s="12"/>
      <c r="I3" s="13"/>
    </row>
    <row r="4" spans="1:9" ht="22.5" customHeight="1" x14ac:dyDescent="0.3">
      <c r="B4" s="14" t="s">
        <v>2</v>
      </c>
      <c r="C4" s="14" t="s">
        <v>3</v>
      </c>
      <c r="D4" s="14" t="s">
        <v>16</v>
      </c>
      <c r="E4" s="14" t="s">
        <v>17</v>
      </c>
      <c r="F4" s="14" t="s">
        <v>18</v>
      </c>
      <c r="G4" s="14" t="s">
        <v>19</v>
      </c>
      <c r="H4" s="14" t="s">
        <v>20</v>
      </c>
      <c r="I4" s="13"/>
    </row>
    <row r="5" spans="1:9" ht="30" customHeight="1" x14ac:dyDescent="0.3">
      <c r="B5" s="15">
        <f ca="1">DATE(YEAR(TODAY()),1,23)</f>
        <v>42758</v>
      </c>
      <c r="C5" t="s">
        <v>4</v>
      </c>
      <c r="D5" s="21">
        <v>25</v>
      </c>
      <c r="E5" s="20">
        <f ca="1">IF(ISBLANK(ProjectDetails[[#This Row],[日期]]),"",0)</f>
        <v>0</v>
      </c>
      <c r="F5" s="10">
        <f ca="1">IFERROR(IF(排序后的项目日期!P5="",5,排序后的项目日期!P5),0)</f>
        <v>25</v>
      </c>
      <c r="G5" s="19">
        <f ca="1">IFERROR(IF(排序后的项目日期!N5="",项目结束,排序后的项目日期!N5),项目结束)</f>
        <v>42758</v>
      </c>
      <c r="H5" s="16" t="str">
        <f ca="1">IFERROR(IF(排序后的项目日期!O5="","",排序后的项目日期!O5),"")</f>
        <v>项目开始</v>
      </c>
      <c r="I5" s="13"/>
    </row>
    <row r="6" spans="1:9" ht="30" customHeight="1" x14ac:dyDescent="0.3">
      <c r="B6" s="15">
        <f ca="1">DATE(YEAR(TODAY()),2,24)</f>
        <v>42790</v>
      </c>
      <c r="C6" t="s">
        <v>5</v>
      </c>
      <c r="D6" s="21">
        <v>10</v>
      </c>
      <c r="E6" s="20">
        <f ca="1">IF(ISBLANK(ProjectDetails[[#This Row],[日期]]),"",0)</f>
        <v>0</v>
      </c>
      <c r="F6" s="16">
        <f ca="1">IFERROR(IF(排序后的项目日期!P6="",5,排序后的项目日期!P6),0)</f>
        <v>-10</v>
      </c>
      <c r="G6" s="19">
        <f ca="1">IFERROR(IF(排序后的项目日期!N6="",项目结束,排序后的项目日期!N6),项目结束)</f>
        <v>42790</v>
      </c>
      <c r="H6" s="16" t="str">
        <f ca="1">IFERROR(IF(排序后的项目日期!O6="","",排序后的项目日期!O6),"")</f>
        <v>里程碑 2</v>
      </c>
      <c r="I6" s="13"/>
    </row>
    <row r="7" spans="1:9" ht="30" customHeight="1" x14ac:dyDescent="0.3">
      <c r="B7" s="15">
        <f ca="1">DATE(YEAR(TODAY()),2,24)</f>
        <v>42790</v>
      </c>
      <c r="C7" t="s">
        <v>6</v>
      </c>
      <c r="D7" s="21">
        <v>-10</v>
      </c>
      <c r="E7" s="20">
        <f ca="1">IF(ISBLANK(ProjectDetails[[#This Row],[日期]]),"",0)</f>
        <v>0</v>
      </c>
      <c r="F7" s="16">
        <f ca="1">IFERROR(IF(排序后的项目日期!P7="",5,排序后的项目日期!P7),0)</f>
        <v>10</v>
      </c>
      <c r="G7" s="19">
        <f ca="1">IFERROR(IF(排序后的项目日期!N7="",项目结束,排序后的项目日期!N7),项目结束)</f>
        <v>42790</v>
      </c>
      <c r="H7" s="16" t="str">
        <f ca="1">IFERROR(IF(排序后的项目日期!O7="","",排序后的项目日期!O7),"")</f>
        <v>里程碑 1</v>
      </c>
      <c r="I7" s="13"/>
    </row>
    <row r="8" spans="1:9" ht="30" customHeight="1" x14ac:dyDescent="0.3">
      <c r="B8" s="15">
        <f ca="1">DATE(YEAR(TODAY()),3,1)</f>
        <v>42795</v>
      </c>
      <c r="C8" t="s">
        <v>7</v>
      </c>
      <c r="D8" s="21">
        <v>15</v>
      </c>
      <c r="E8" s="20">
        <f ca="1">IF(ISBLANK(ProjectDetails[[#This Row],[日期]]),"",0)</f>
        <v>0</v>
      </c>
      <c r="F8" s="16">
        <f ca="1">IFERROR(IF(排序后的项目日期!P8="",5,排序后的项目日期!P8),0)</f>
        <v>15</v>
      </c>
      <c r="G8" s="19">
        <f ca="1">IFERROR(IF(排序后的项目日期!N8="",项目结束,排序后的项目日期!N8),项目结束)</f>
        <v>42795</v>
      </c>
      <c r="H8" s="16" t="str">
        <f ca="1">IFERROR(IF(排序后的项目日期!O8="","",排序后的项目日期!O8),"")</f>
        <v>里程碑 3</v>
      </c>
      <c r="I8" s="13"/>
    </row>
    <row r="9" spans="1:9" ht="30" customHeight="1" x14ac:dyDescent="0.3">
      <c r="B9" s="15">
        <f ca="1">DATE(YEAR(TODAY()),3,15)</f>
        <v>42809</v>
      </c>
      <c r="C9" t="s">
        <v>8</v>
      </c>
      <c r="D9" s="21">
        <v>-15</v>
      </c>
      <c r="E9" s="20">
        <f ca="1">IF(ISBLANK(ProjectDetails[[#This Row],[日期]]),"",0)</f>
        <v>0</v>
      </c>
      <c r="F9" s="16">
        <f ca="1">IFERROR(IF(排序后的项目日期!P9="",5,排序后的项目日期!P9),0)</f>
        <v>-15</v>
      </c>
      <c r="G9" s="19">
        <f ca="1">IFERROR(IF(排序后的项目日期!N9="",项目结束,排序后的项目日期!N9),项目结束)</f>
        <v>42809</v>
      </c>
      <c r="H9" s="16" t="str">
        <f ca="1">IFERROR(IF(排序后的项目日期!O9="","",排序后的项目日期!O9),"")</f>
        <v>里程碑 4</v>
      </c>
      <c r="I9" s="13"/>
    </row>
    <row r="10" spans="1:9" ht="30" customHeight="1" x14ac:dyDescent="0.3">
      <c r="B10" s="15">
        <f ca="1">DATE(YEAR(TODAY()),5,15)</f>
        <v>42870</v>
      </c>
      <c r="C10" t="s">
        <v>9</v>
      </c>
      <c r="D10" s="21">
        <v>15</v>
      </c>
      <c r="E10" s="20">
        <f ca="1">IF(ISBLANK(ProjectDetails[[#This Row],[日期]]),"",0)</f>
        <v>0</v>
      </c>
      <c r="F10" s="16">
        <f ca="1">IFERROR(IF(排序后的项目日期!P10="",5,排序后的项目日期!P10),0)</f>
        <v>15</v>
      </c>
      <c r="G10" s="19">
        <f ca="1">IFERROR(IF(排序后的项目日期!N10="",项目结束,排序后的项目日期!N10),项目结束)</f>
        <v>42870</v>
      </c>
      <c r="H10" s="16" t="str">
        <f ca="1">IFERROR(IF(排序后的项目日期!O10="","",排序后的项目日期!O10),"")</f>
        <v>里程碑 5</v>
      </c>
      <c r="I10" s="13"/>
    </row>
    <row r="11" spans="1:9" ht="30" customHeight="1" x14ac:dyDescent="0.3">
      <c r="B11" s="15">
        <f ca="1">DATE(YEAR(TODAY()),6,15)</f>
        <v>42901</v>
      </c>
      <c r="C11" t="s">
        <v>10</v>
      </c>
      <c r="D11" s="21">
        <v>-15</v>
      </c>
      <c r="E11" s="20">
        <f ca="1">IF(ISBLANK(ProjectDetails[[#This Row],[日期]]),"",0)</f>
        <v>0</v>
      </c>
      <c r="F11" s="16">
        <f ca="1">IFERROR(IF(排序后的项目日期!P11="",5,排序后的项目日期!P11),0)</f>
        <v>-15</v>
      </c>
      <c r="G11" s="19">
        <f ca="1">IFERROR(IF(排序后的项目日期!N11="",项目结束,排序后的项目日期!N11),项目结束)</f>
        <v>42901</v>
      </c>
      <c r="H11" s="16" t="str">
        <f ca="1">IFERROR(IF(排序后的项目日期!O11="","",排序后的项目日期!O11),"")</f>
        <v>里程碑 6</v>
      </c>
      <c r="I11" s="13"/>
    </row>
    <row r="12" spans="1:9" ht="30" customHeight="1" x14ac:dyDescent="0.3">
      <c r="B12" s="15">
        <f ca="1">DATE(YEAR(TODAY()),6,30)</f>
        <v>42916</v>
      </c>
      <c r="C12" t="s">
        <v>11</v>
      </c>
      <c r="D12" s="21">
        <v>15</v>
      </c>
      <c r="E12" s="20">
        <f ca="1">IF(ISBLANK(ProjectDetails[[#This Row],[日期]]),"",0)</f>
        <v>0</v>
      </c>
      <c r="F12" s="16">
        <f ca="1">IFERROR(IF(排序后的项目日期!P12="",5,排序后的项目日期!P12),0)</f>
        <v>15</v>
      </c>
      <c r="G12" s="19">
        <f ca="1">IFERROR(IF(排序后的项目日期!N12="",项目结束,排序后的项目日期!N12),项目结束)</f>
        <v>42916</v>
      </c>
      <c r="H12" s="16" t="str">
        <f ca="1">IFERROR(IF(排序后的项目日期!O12="","",排序后的项目日期!O12),"")</f>
        <v>里程碑 7</v>
      </c>
    </row>
    <row r="13" spans="1:9" ht="30" customHeight="1" x14ac:dyDescent="0.3">
      <c r="B13" s="15">
        <f ca="1">DATE(YEAR(TODAY()),7,15)</f>
        <v>42931</v>
      </c>
      <c r="C13" t="s">
        <v>12</v>
      </c>
      <c r="D13" s="21">
        <v>-20</v>
      </c>
      <c r="E13" s="20">
        <f ca="1">IF(ISBLANK(ProjectDetails[[#This Row],[日期]]),"",0)</f>
        <v>0</v>
      </c>
      <c r="F13" s="16">
        <f ca="1">IFERROR(IF(排序后的项目日期!P13="",5,排序后的项目日期!P13),0)</f>
        <v>-20</v>
      </c>
      <c r="G13" s="19">
        <f ca="1">IFERROR(IF(排序后的项目日期!N13="",项目结束,排序后的项目日期!N13),项目结束)</f>
        <v>42931</v>
      </c>
      <c r="H13" s="16" t="str">
        <f ca="1">IFERROR(IF(排序后的项目日期!O13="","",排序后的项目日期!O13),"")</f>
        <v>里程碑 8</v>
      </c>
    </row>
    <row r="14" spans="1:9" ht="30" customHeight="1" x14ac:dyDescent="0.3">
      <c r="B14" s="15">
        <f ca="1">DATE(YEAR(TODAY()),7,30)</f>
        <v>42946</v>
      </c>
      <c r="C14" t="s">
        <v>13</v>
      </c>
      <c r="D14" s="21">
        <v>20</v>
      </c>
      <c r="E14" s="20">
        <f ca="1">IF(ISBLANK(ProjectDetails[[#This Row],[日期]]),"",0)</f>
        <v>0</v>
      </c>
      <c r="F14" s="16">
        <f ca="1">IFERROR(IF(排序后的项目日期!P14="",5,排序后的项目日期!P14),0)</f>
        <v>20</v>
      </c>
      <c r="G14" s="19">
        <f ca="1">IFERROR(IF(排序后的项目日期!N14="",项目结束,排序后的项目日期!N14),项目结束)</f>
        <v>42946</v>
      </c>
      <c r="H14" s="16" t="str">
        <f ca="1">IFERROR(IF(排序后的项目日期!O14="","",排序后的项目日期!O14),"")</f>
        <v>里程碑 9</v>
      </c>
    </row>
    <row r="15" spans="1:9" ht="30" customHeight="1" x14ac:dyDescent="0.3">
      <c r="B15" s="15">
        <f ca="1">DATE(YEAR(TODAY()),10,23)</f>
        <v>43031</v>
      </c>
      <c r="C15" t="s">
        <v>14</v>
      </c>
      <c r="D15" s="21">
        <v>-15</v>
      </c>
      <c r="E15" s="20">
        <f ca="1">IF(ISBLANK(ProjectDetails[[#This Row],[日期]]),"",0)</f>
        <v>0</v>
      </c>
      <c r="F15" s="16">
        <f ca="1">IFERROR(IF(排序后的项目日期!P15="",5,排序后的项目日期!P15),0)</f>
        <v>-15</v>
      </c>
      <c r="G15" s="19">
        <f ca="1">IFERROR(IF(排序后的项目日期!N15="",项目结束,排序后的项目日期!N15),项目结束)</f>
        <v>43031</v>
      </c>
      <c r="H15" s="16" t="str">
        <f ca="1">IFERROR(IF(排序后的项目日期!O15="","",排序后的项目日期!O15),"")</f>
        <v>里程碑 10</v>
      </c>
    </row>
    <row r="16" spans="1:9" ht="30" customHeight="1" x14ac:dyDescent="0.3">
      <c r="B16" s="15">
        <f ca="1">DATE(YEAR(TODAY()),12,31)</f>
        <v>43100</v>
      </c>
      <c r="C16" t="s">
        <v>15</v>
      </c>
      <c r="D16" s="21">
        <v>15</v>
      </c>
      <c r="E16" s="20">
        <f ca="1">IF(ISBLANK(ProjectDetails[[#This Row],[日期]]),"",0)</f>
        <v>0</v>
      </c>
      <c r="F16" s="16">
        <f ca="1">IFERROR(IF(排序后的项目日期!P16="",5,排序后的项目日期!P16),0)</f>
        <v>15</v>
      </c>
      <c r="G16" s="19">
        <f ca="1">IFERROR(IF(排序后的项目日期!N16="",项目结束,排序后的项目日期!N16),项目结束)</f>
        <v>43100</v>
      </c>
      <c r="H16" s="16" t="str">
        <f ca="1">IFERROR(IF(排序后的项目日期!O16="","",排序后的项目日期!O16),"")</f>
        <v>项目结束</v>
      </c>
    </row>
  </sheetData>
  <phoneticPr fontId="1" type="noConversion"/>
  <dataValidations count="7">
    <dataValidation allowBlank="1" showInputMessage="1" showErrorMessage="1" prompt="在此工作簿中创建项目里程碑日程表。从表格的单元格 B4 开始输入项目详细信息。日程表位于单元格 A2 到 I2" sqref="A1"/>
    <dataValidation allowBlank="1" showInputMessage="1" showErrorMessage="1" prompt="此工作表的标题位于此单元格中" sqref="B1"/>
    <dataValidation allowBlank="1" showInputMessage="1" showErrorMessage="1" prompt="单元格 A2 到 I2 中的日程表将自动更新为项目日期和里程碑" sqref="A2"/>
    <dataValidation allowBlank="1" showInputMessage="1" showErrorMessage="1" prompt="在下表中输入项目详细信息" sqref="B3"/>
    <dataValidation allowBlank="1" showInputMessage="1" showErrorMessage="1" prompt="在此标题下的此列中输入日期" sqref="B4"/>
    <dataValidation allowBlank="1" showInputMessage="1" showErrorMessage="1" prompt="在此标题下的此列中输入里程碑" sqref="C4"/>
    <dataValidation allowBlank="1" showInputMessage="1" showErrorMessage="1" prompt="在此标题下的此列中输入位置。按位置在日程表中绘制日期和里程碑，正数绘制在日程表上方，负数绘制在下方" sqref="D4"/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96" fitToHeight="0" orientation="landscape" r:id="rId1"/>
  <headerFooter differentFirst="1">
    <oddFooter>Page &amp;P of &amp;N</oddFooter>
  </headerFooter>
  <ignoredErrors>
    <ignoredError sqref="B6" formula="1"/>
    <ignoredError sqref="F16 H16 H5:H15 F5:F15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</sheetPr>
  <dimension ref="A1:P349"/>
  <sheetViews>
    <sheetView workbookViewId="0"/>
  </sheetViews>
  <sheetFormatPr defaultRowHeight="16.5" x14ac:dyDescent="0.3"/>
  <cols>
    <col min="1" max="1" width="8.88671875" style="2" customWidth="1"/>
    <col min="2" max="2" width="10.44140625" style="2" customWidth="1"/>
    <col min="3" max="3" width="8.88671875" style="2" customWidth="1"/>
    <col min="4" max="4" width="2.6640625" style="2" customWidth="1"/>
    <col min="5" max="5" width="16.44140625" style="2" customWidth="1"/>
    <col min="6" max="6" width="12.6640625" style="2" customWidth="1"/>
    <col min="7" max="7" width="15.6640625" style="2" customWidth="1"/>
    <col min="8" max="8" width="22.44140625" style="2" customWidth="1"/>
    <col min="9" max="9" width="13.44140625" style="2" customWidth="1"/>
    <col min="10" max="12" width="8.88671875" style="2"/>
    <col min="13" max="13" width="16.44140625" style="2" customWidth="1"/>
    <col min="14" max="14" width="20.44140625" style="2" customWidth="1"/>
    <col min="15" max="15" width="22.44140625" style="2" customWidth="1"/>
    <col min="16" max="16" width="17.44140625" style="2" customWidth="1"/>
    <col min="17" max="17" width="16.44140625" style="2" customWidth="1"/>
    <col min="18" max="16384" width="8.88671875" style="2"/>
  </cols>
  <sheetData>
    <row r="1" spans="1:16" x14ac:dyDescent="0.3">
      <c r="A1" s="1" t="s">
        <v>21</v>
      </c>
    </row>
    <row r="3" spans="1:16" ht="66" x14ac:dyDescent="0.3">
      <c r="E3" s="2" t="s">
        <v>24</v>
      </c>
      <c r="M3" s="2" t="s">
        <v>27</v>
      </c>
    </row>
    <row r="4" spans="1:16" ht="17.25" thickBot="1" x14ac:dyDescent="0.35">
      <c r="B4" s="2" t="s">
        <v>22</v>
      </c>
      <c r="C4" s="2">
        <f>ROW(ProjectDetails[[#Headers],[日期]])+1</f>
        <v>5</v>
      </c>
      <c r="E4" s="7" t="s">
        <v>25</v>
      </c>
      <c r="F4" s="7" t="s">
        <v>26</v>
      </c>
      <c r="G4" s="7" t="s">
        <v>30</v>
      </c>
      <c r="H4" s="7" t="s">
        <v>31</v>
      </c>
      <c r="I4" s="7" t="s">
        <v>34</v>
      </c>
      <c r="J4" s="7" t="s">
        <v>33</v>
      </c>
      <c r="M4" s="8" t="s">
        <v>28</v>
      </c>
      <c r="N4" s="8" t="s">
        <v>29</v>
      </c>
      <c r="O4" s="8" t="s">
        <v>31</v>
      </c>
      <c r="P4" s="8" t="s">
        <v>32</v>
      </c>
    </row>
    <row r="5" spans="1:16" x14ac:dyDescent="0.3">
      <c r="B5" s="2" t="s">
        <v>23</v>
      </c>
      <c r="C5" s="2">
        <f ca="1">IFERROR(MATCH(9.99E+307,ProjectDetails[日期])+Project_start_row-1,Project_start_row)</f>
        <v>16</v>
      </c>
      <c r="E5" s="3">
        <f ca="1">IFERROR(RANK(F5,ProjectTimelineData[排名])+SUMPRODUCT(--(F5=ProjectTimelineData[排名]),--(J5&lt;ProjectTimelineData[NUM])),"")</f>
        <v>12</v>
      </c>
      <c r="F5" s="3">
        <f ca="1">IFERROR(RANK(ProjectTimelineData[[#This Row],[日期]],ProjectTimelineData[日期],1),"")</f>
        <v>1</v>
      </c>
      <c r="G5" s="6">
        <f ca="1">IFERROR(IF(AND(Project_last_entry-Project_start_row=0,ISBLANK(INDEX(ProjectDetails[#Data],1,1))),"",IF(Project_last_entry-Project_start_row=0,INDEX(ProjectDetails[#Data],1,1),INDEX(ProjectDetails[#Data],Project_last_entry-Project_start_row-ProjectTimelineData[[#This Row],[NUM]]+1,1))),"")</f>
        <v>42758</v>
      </c>
      <c r="H5" s="4" t="str">
        <f ca="1">IFERROR(IF(AND(Project_last_entry-Project_start_row=0,ISBLANK(INDEX(ProjectDetails[#Data],1,2))),"",IF(Project_last_entry-Project_start_row=0,INDEX(ProjectDetails[#Data],1,2),INDEX(ProjectDetails[#Data],Project_last_entry-Project_start_row-ProjectTimelineData[[#This Row],[NUM]]+1,2))),"")</f>
        <v>项目开始</v>
      </c>
      <c r="I5" s="4">
        <f ca="1">IFERROR(IF(AND(Project_last_entry-Project_start_row=0,ISBLANK(INDEX(ProjectDetails[#Data],1,3))),"",IF(Project_last_entry-Project_start_row=0,INDEX(ProjectDetails[#Data],1,3),INDEX(ProjectDetails[#Data],Project_last_entry-Project_start_row-ProjectTimelineData[[#This Row],[NUM]]+1,3))),"")</f>
        <v>25</v>
      </c>
      <c r="J5" s="2">
        <f ca="1">IFERROR(IF(AND(Project_last_entry-Project_start_row=0,ISBLANK(INDEX(ProjectDetails[#Data],1,1))),"",IF(Project_last_entry-Project_start_row=0,0,Project_last_entry-Project_start_row)),"")</f>
        <v>11</v>
      </c>
      <c r="M5" s="3">
        <f ca="1">IFERROR(ProjectTimelineData[NUM]+1,"")</f>
        <v>12</v>
      </c>
      <c r="N5" s="6">
        <f ca="1">IFERROR(VLOOKUP(SortedTimeline[经过排序的排名],ProjectTimelineData[],3,0),"")</f>
        <v>42758</v>
      </c>
      <c r="O5" s="2" t="str">
        <f ca="1">IFERROR(VLOOKUP(SortedTimeline[经过排序的排名],ProjectTimelineData[],4,0),"")</f>
        <v>项目开始</v>
      </c>
      <c r="P5" s="2">
        <f ca="1">IFERROR(VLOOKUP(SortedTimeline[经过排序的排名],ProjectTimelineData[],5,0),"")</f>
        <v>25</v>
      </c>
    </row>
    <row r="6" spans="1:16" x14ac:dyDescent="0.3">
      <c r="E6" s="3">
        <f ca="1">IFERROR(RANK(F6,ProjectTimelineData[排名])+SUMPRODUCT(--(F6=ProjectTimelineData[排名]),--(J6&lt;ProjectTimelineData[NUM])),"")</f>
        <v>10</v>
      </c>
      <c r="F6" s="3">
        <f ca="1">IFERROR(RANK(ProjectTimelineData[[#This Row],[日期]],ProjectTimelineData[日期],1),"")</f>
        <v>2</v>
      </c>
      <c r="G6" s="6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>42790</v>
      </c>
      <c r="H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>里程碑 1</v>
      </c>
      <c r="I6" s="4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>10</v>
      </c>
      <c r="J6" s="2">
        <f ca="1">IFERROR(IF(ISBLANK(INDEX(ProjectDetails[#Data],ROW(A1)+1,1)),"",IF($J5-1&lt;=-1,"",$J5-1)),"")</f>
        <v>10</v>
      </c>
      <c r="M6" s="3">
        <f ca="1">IFERROR(ProjectTimelineData[NUM]+1,"")</f>
        <v>11</v>
      </c>
      <c r="N6" s="6">
        <f ca="1">IFERROR(VLOOKUP(SortedTimeline[经过排序的排名],ProjectTimelineData[],3,0),"")</f>
        <v>42790</v>
      </c>
      <c r="O6" s="2" t="str">
        <f ca="1">IFERROR(VLOOKUP(SortedTimeline[经过排序的排名],ProjectTimelineData[],4,0),"")</f>
        <v>里程碑 2</v>
      </c>
      <c r="P6" s="2">
        <f ca="1">IFERROR(VLOOKUP(SortedTimeline[经过排序的排名],ProjectTimelineData[],5,0),"")</f>
        <v>-10</v>
      </c>
    </row>
    <row r="7" spans="1:16" x14ac:dyDescent="0.3">
      <c r="E7" s="3">
        <f ca="1">IFERROR(RANK(F7,ProjectTimelineData[排名])+SUMPRODUCT(--(F7=ProjectTimelineData[排名]),--(J7&lt;ProjectTimelineData[NUM])),"")</f>
        <v>11</v>
      </c>
      <c r="F7" s="3">
        <f ca="1">IFERROR(RANK(ProjectTimelineData[[#This Row],[日期]],ProjectTimelineData[日期],1),"")</f>
        <v>2</v>
      </c>
      <c r="G7" s="6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>42790</v>
      </c>
      <c r="H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>里程碑 2</v>
      </c>
      <c r="I7" s="4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>-10</v>
      </c>
      <c r="J7" s="2">
        <f ca="1">IFERROR(IF(ISBLANK(INDEX(ProjectDetails[#Data],ROW(A2)+1,1)),"",IF($J6-1&lt;=-1,"",$J6-1)),"")</f>
        <v>9</v>
      </c>
      <c r="M7" s="3">
        <f ca="1">IFERROR(ProjectTimelineData[NUM]+1,"")</f>
        <v>10</v>
      </c>
      <c r="N7" s="6">
        <f ca="1">IFERROR(VLOOKUP(SortedTimeline[经过排序的排名],ProjectTimelineData[],3,0),"")</f>
        <v>42790</v>
      </c>
      <c r="O7" s="2" t="str">
        <f ca="1">IFERROR(VLOOKUP(SortedTimeline[经过排序的排名],ProjectTimelineData[],4,0),"")</f>
        <v>里程碑 1</v>
      </c>
      <c r="P7" s="2">
        <f ca="1">IFERROR(VLOOKUP(SortedTimeline[经过排序的排名],ProjectTimelineData[],5,0),"")</f>
        <v>10</v>
      </c>
    </row>
    <row r="8" spans="1:16" x14ac:dyDescent="0.3">
      <c r="E8" s="3">
        <f ca="1">IFERROR(RANK(F8,ProjectTimelineData[排名])+SUMPRODUCT(--(F8=ProjectTimelineData[排名]),--(J8&lt;ProjectTimelineData[NUM])),"")</f>
        <v>9</v>
      </c>
      <c r="F8" s="3">
        <f ca="1">IFERROR(RANK(ProjectTimelineData[[#This Row],[日期]],ProjectTimelineData[日期],1),"")</f>
        <v>4</v>
      </c>
      <c r="G8" s="6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>42795</v>
      </c>
      <c r="H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>里程碑 3</v>
      </c>
      <c r="I8" s="4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>15</v>
      </c>
      <c r="J8" s="2">
        <f ca="1">IFERROR(IF(ISBLANK(INDEX(ProjectDetails[#Data],ROW(A3)+1,1)),"",IF($J7-1&lt;=-1,"",$J7-1)),"")</f>
        <v>8</v>
      </c>
      <c r="M8" s="3">
        <f ca="1">IFERROR(ProjectTimelineData[NUM]+1,"")</f>
        <v>9</v>
      </c>
      <c r="N8" s="6">
        <f ca="1">IFERROR(VLOOKUP(SortedTimeline[经过排序的排名],ProjectTimelineData[],3,0),"")</f>
        <v>42795</v>
      </c>
      <c r="O8" s="2" t="str">
        <f ca="1">IFERROR(VLOOKUP(SortedTimeline[经过排序的排名],ProjectTimelineData[],4,0),"")</f>
        <v>里程碑 3</v>
      </c>
      <c r="P8" s="2">
        <f ca="1">IFERROR(VLOOKUP(SortedTimeline[经过排序的排名],ProjectTimelineData[],5,0),"")</f>
        <v>15</v>
      </c>
    </row>
    <row r="9" spans="1:16" x14ac:dyDescent="0.3">
      <c r="E9" s="3">
        <f ca="1">IFERROR(RANK(F9,ProjectTimelineData[排名])+SUMPRODUCT(--(F9=ProjectTimelineData[排名]),--(J9&lt;ProjectTimelineData[NUM])),"")</f>
        <v>8</v>
      </c>
      <c r="F9" s="3">
        <f ca="1">IFERROR(RANK(ProjectTimelineData[[#This Row],[日期]],ProjectTimelineData[日期],1),"")</f>
        <v>5</v>
      </c>
      <c r="G9" s="6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>42809</v>
      </c>
      <c r="H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>里程碑 4</v>
      </c>
      <c r="I9" s="4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>-15</v>
      </c>
      <c r="J9" s="2">
        <f ca="1">IFERROR(IF(ISBLANK(INDEX(ProjectDetails[#Data],ROW(A4)+1,1)),"",IF($J8-1&lt;=-1,"",$J8-1)),"")</f>
        <v>7</v>
      </c>
      <c r="M9" s="3">
        <f ca="1">IFERROR(ProjectTimelineData[NUM]+1,"")</f>
        <v>8</v>
      </c>
      <c r="N9" s="6">
        <f ca="1">IFERROR(VLOOKUP(SortedTimeline[经过排序的排名],ProjectTimelineData[],3,0),"")</f>
        <v>42809</v>
      </c>
      <c r="O9" s="2" t="str">
        <f ca="1">IFERROR(VLOOKUP(SortedTimeline[经过排序的排名],ProjectTimelineData[],4,0),"")</f>
        <v>里程碑 4</v>
      </c>
      <c r="P9" s="2">
        <f ca="1">IFERROR(VLOOKUP(SortedTimeline[经过排序的排名],ProjectTimelineData[],5,0),"")</f>
        <v>-15</v>
      </c>
    </row>
    <row r="10" spans="1:16" x14ac:dyDescent="0.3">
      <c r="E10" s="3">
        <f ca="1">IFERROR(RANK(F10,ProjectTimelineData[排名])+SUMPRODUCT(--(F10=ProjectTimelineData[排名]),--(J10&lt;ProjectTimelineData[NUM])),"")</f>
        <v>7</v>
      </c>
      <c r="F10" s="3">
        <f ca="1">IFERROR(RANK(ProjectTimelineData[[#This Row],[日期]],ProjectTimelineData[日期],1),"")</f>
        <v>6</v>
      </c>
      <c r="G10" s="6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>42870</v>
      </c>
      <c r="H10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>里程碑 5</v>
      </c>
      <c r="I10" s="4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>15</v>
      </c>
      <c r="J10" s="2">
        <f ca="1">IFERROR(IF(ISBLANK(INDEX(ProjectDetails[#Data],ROW(A5)+1,1)),"",IF($J9-1&lt;=-1,"",$J9-1)),"")</f>
        <v>6</v>
      </c>
      <c r="M10" s="3">
        <f ca="1">IFERROR(ProjectTimelineData[NUM]+1,"")</f>
        <v>7</v>
      </c>
      <c r="N10" s="6">
        <f ca="1">IFERROR(VLOOKUP(SortedTimeline[经过排序的排名],ProjectTimelineData[],3,0),"")</f>
        <v>42870</v>
      </c>
      <c r="O10" s="2" t="str">
        <f ca="1">IFERROR(VLOOKUP(SortedTimeline[经过排序的排名],ProjectTimelineData[],4,0),"")</f>
        <v>里程碑 5</v>
      </c>
      <c r="P10" s="2">
        <f ca="1">IFERROR(VLOOKUP(SortedTimeline[经过排序的排名],ProjectTimelineData[],5,0),"")</f>
        <v>15</v>
      </c>
    </row>
    <row r="11" spans="1:16" x14ac:dyDescent="0.3">
      <c r="E11" s="3">
        <f ca="1">IFERROR(RANK(F11,ProjectTimelineData[排名])+SUMPRODUCT(--(F11=ProjectTimelineData[排名]),--(J11&lt;ProjectTimelineData[NUM])),"")</f>
        <v>6</v>
      </c>
      <c r="F11" s="3">
        <f ca="1">IFERROR(RANK(ProjectTimelineData[[#This Row],[日期]],ProjectTimelineData[日期],1),"")</f>
        <v>7</v>
      </c>
      <c r="G11" s="6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>42901</v>
      </c>
      <c r="H11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>里程碑 6</v>
      </c>
      <c r="I11" s="4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>-15</v>
      </c>
      <c r="J11" s="2">
        <f ca="1">IFERROR(IF(ISBLANK(INDEX(ProjectDetails[#Data],ROW(A6)+1,1)),"",IF($J10-1&lt;=-1,"",$J10-1)),"")</f>
        <v>5</v>
      </c>
      <c r="M11" s="3">
        <f ca="1">IFERROR(ProjectTimelineData[NUM]+1,"")</f>
        <v>6</v>
      </c>
      <c r="N11" s="6">
        <f ca="1">IFERROR(VLOOKUP(SortedTimeline[经过排序的排名],ProjectTimelineData[],3,0),"")</f>
        <v>42901</v>
      </c>
      <c r="O11" s="2" t="str">
        <f ca="1">IFERROR(VLOOKUP(SortedTimeline[经过排序的排名],ProjectTimelineData[],4,0),"")</f>
        <v>里程碑 6</v>
      </c>
      <c r="P11" s="2">
        <f ca="1">IFERROR(VLOOKUP(SortedTimeline[经过排序的排名],ProjectTimelineData[],5,0),"")</f>
        <v>-15</v>
      </c>
    </row>
    <row r="12" spans="1:16" x14ac:dyDescent="0.3">
      <c r="E12" s="3">
        <f ca="1">IFERROR(RANK(F12,ProjectTimelineData[排名])+SUMPRODUCT(--(F12=ProjectTimelineData[排名]),--(J12&lt;ProjectTimelineData[NUM])),"")</f>
        <v>5</v>
      </c>
      <c r="F12" s="3">
        <f ca="1">IFERROR(RANK(ProjectTimelineData[[#This Row],[日期]],ProjectTimelineData[日期],1),"")</f>
        <v>8</v>
      </c>
      <c r="G12" s="6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>42916</v>
      </c>
      <c r="H12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>里程碑 7</v>
      </c>
      <c r="I12" s="4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>15</v>
      </c>
      <c r="J12" s="2">
        <f ca="1">IFERROR(IF(ISBLANK(INDEX(ProjectDetails[#Data],ROW(A7)+1,1)),"",IF($J11-1&lt;=-1,"",$J11-1)),"")</f>
        <v>4</v>
      </c>
      <c r="M12" s="3">
        <f ca="1">IFERROR(ProjectTimelineData[NUM]+1,"")</f>
        <v>5</v>
      </c>
      <c r="N12" s="6">
        <f ca="1">IFERROR(VLOOKUP(SortedTimeline[经过排序的排名],ProjectTimelineData[],3,0),"")</f>
        <v>42916</v>
      </c>
      <c r="O12" s="2" t="str">
        <f ca="1">IFERROR(VLOOKUP(SortedTimeline[经过排序的排名],ProjectTimelineData[],4,0),"")</f>
        <v>里程碑 7</v>
      </c>
      <c r="P12" s="2">
        <f ca="1">IFERROR(VLOOKUP(SortedTimeline[经过排序的排名],ProjectTimelineData[],5,0),"")</f>
        <v>15</v>
      </c>
    </row>
    <row r="13" spans="1:16" x14ac:dyDescent="0.3">
      <c r="E13" s="3">
        <f ca="1">IFERROR(RANK(F13,ProjectTimelineData[排名])+SUMPRODUCT(--(F13=ProjectTimelineData[排名]),--(J13&lt;ProjectTimelineData[NUM])),"")</f>
        <v>4</v>
      </c>
      <c r="F13" s="3">
        <f ca="1">IFERROR(RANK(ProjectTimelineData[[#This Row],[日期]],ProjectTimelineData[日期],1),"")</f>
        <v>9</v>
      </c>
      <c r="G13" s="6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>42931</v>
      </c>
      <c r="H13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>里程碑 8</v>
      </c>
      <c r="I13" s="4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>-20</v>
      </c>
      <c r="J13" s="2">
        <f ca="1">IFERROR(IF(ISBLANK(INDEX(ProjectDetails[#Data],ROW(A8)+1,1)),"",IF($J12-1&lt;=-1,"",$J12-1)),"")</f>
        <v>3</v>
      </c>
      <c r="M13" s="3">
        <f ca="1">IFERROR(ProjectTimelineData[NUM]+1,"")</f>
        <v>4</v>
      </c>
      <c r="N13" s="6">
        <f ca="1">IFERROR(VLOOKUP(SortedTimeline[经过排序的排名],ProjectTimelineData[],3,0),"")</f>
        <v>42931</v>
      </c>
      <c r="O13" s="2" t="str">
        <f ca="1">IFERROR(VLOOKUP(SortedTimeline[经过排序的排名],ProjectTimelineData[],4,0),"")</f>
        <v>里程碑 8</v>
      </c>
      <c r="P13" s="2">
        <f ca="1">IFERROR(VLOOKUP(SortedTimeline[经过排序的排名],ProjectTimelineData[],5,0),"")</f>
        <v>-20</v>
      </c>
    </row>
    <row r="14" spans="1:16" x14ac:dyDescent="0.3">
      <c r="E14" s="3">
        <f ca="1">IFERROR(RANK(F14,ProjectTimelineData[排名])+SUMPRODUCT(--(F14=ProjectTimelineData[排名]),--(J14&lt;ProjectTimelineData[NUM])),"")</f>
        <v>3</v>
      </c>
      <c r="F14" s="3">
        <f ca="1">IFERROR(RANK(ProjectTimelineData[[#This Row],[日期]],ProjectTimelineData[日期],1),"")</f>
        <v>10</v>
      </c>
      <c r="G14" s="6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>42946</v>
      </c>
      <c r="H14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>里程碑 9</v>
      </c>
      <c r="I14" s="4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>20</v>
      </c>
      <c r="J14" s="2">
        <f ca="1">IFERROR(IF(ISBLANK(INDEX(ProjectDetails[#Data],ROW(A9)+1,1)),"",IF($J13-1&lt;=-1,"",$J13-1)),"")</f>
        <v>2</v>
      </c>
      <c r="M14" s="3">
        <f ca="1">IFERROR(ProjectTimelineData[NUM]+1,"")</f>
        <v>3</v>
      </c>
      <c r="N14" s="6">
        <f ca="1">IFERROR(VLOOKUP(SortedTimeline[经过排序的排名],ProjectTimelineData[],3,0),"")</f>
        <v>42946</v>
      </c>
      <c r="O14" s="2" t="str">
        <f ca="1">IFERROR(VLOOKUP(SortedTimeline[经过排序的排名],ProjectTimelineData[],4,0),"")</f>
        <v>里程碑 9</v>
      </c>
      <c r="P14" s="2">
        <f ca="1">IFERROR(VLOOKUP(SortedTimeline[经过排序的排名],ProjectTimelineData[],5,0),"")</f>
        <v>20</v>
      </c>
    </row>
    <row r="15" spans="1:16" x14ac:dyDescent="0.3">
      <c r="E15" s="3">
        <f ca="1">IFERROR(RANK(F15,ProjectTimelineData[排名])+SUMPRODUCT(--(F15=ProjectTimelineData[排名]),--(J15&lt;ProjectTimelineData[NUM])),"")</f>
        <v>2</v>
      </c>
      <c r="F15" s="3">
        <f ca="1">IFERROR(RANK(ProjectTimelineData[[#This Row],[日期]],ProjectTimelineData[日期],1),"")</f>
        <v>11</v>
      </c>
      <c r="G15" s="6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>43031</v>
      </c>
      <c r="H15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>里程碑 10</v>
      </c>
      <c r="I15" s="4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>-15</v>
      </c>
      <c r="J15" s="2">
        <f ca="1">IFERROR(IF(ISBLANK(INDEX(ProjectDetails[#Data],ROW(A10)+1,1)),"",IF($J14-1&lt;=-1,"",$J14-1)),"")</f>
        <v>1</v>
      </c>
      <c r="M15" s="3">
        <f ca="1">IFERROR(ProjectTimelineData[NUM]+1,"")</f>
        <v>2</v>
      </c>
      <c r="N15" s="6">
        <f ca="1">IFERROR(VLOOKUP(SortedTimeline[经过排序的排名],ProjectTimelineData[],3,0),"")</f>
        <v>43031</v>
      </c>
      <c r="O15" s="2" t="str">
        <f ca="1">IFERROR(VLOOKUP(SortedTimeline[经过排序的排名],ProjectTimelineData[],4,0),"")</f>
        <v>里程碑 10</v>
      </c>
      <c r="P15" s="2">
        <f ca="1">IFERROR(VLOOKUP(SortedTimeline[经过排序的排名],ProjectTimelineData[],5,0),"")</f>
        <v>-15</v>
      </c>
    </row>
    <row r="16" spans="1:16" x14ac:dyDescent="0.3">
      <c r="E16" s="3">
        <f ca="1">IFERROR(RANK(F16,ProjectTimelineData[排名])+SUMPRODUCT(--(F16=ProjectTimelineData[排名]),--(J16&lt;ProjectTimelineData[NUM])),"")</f>
        <v>1</v>
      </c>
      <c r="F16" s="3">
        <f ca="1">IFERROR(RANK(ProjectTimelineData[[#This Row],[日期]],ProjectTimelineData[日期],1),"")</f>
        <v>12</v>
      </c>
      <c r="G16" s="6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>43100</v>
      </c>
      <c r="H1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>项目结束</v>
      </c>
      <c r="I16" s="4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>15</v>
      </c>
      <c r="J16" s="2">
        <f ca="1">IFERROR(IF(ISBLANK(INDEX(ProjectDetails[#Data],ROW(A11)+1,1)),"",IF($J15-1&lt;=-1,"",$J15-1)),"")</f>
        <v>0</v>
      </c>
      <c r="M16" s="3">
        <f ca="1">IFERROR(ProjectTimelineData[NUM]+1,"")</f>
        <v>1</v>
      </c>
      <c r="N16" s="6">
        <f ca="1">IFERROR(VLOOKUP(SortedTimeline[经过排序的排名],ProjectTimelineData[],3,0),"")</f>
        <v>43100</v>
      </c>
      <c r="O16" s="2" t="str">
        <f ca="1">IFERROR(VLOOKUP(SortedTimeline[经过排序的排名],ProjectTimelineData[],4,0),"")</f>
        <v>项目结束</v>
      </c>
      <c r="P16" s="2">
        <f ca="1">IFERROR(VLOOKUP(SortedTimeline[经过排序的排名],ProjectTimelineData[],5,0),"")</f>
        <v>15</v>
      </c>
    </row>
    <row r="17" spans="2:16" x14ac:dyDescent="0.3">
      <c r="B17" s="5"/>
      <c r="E17" s="3" t="str">
        <f ca="1">IFERROR(RANK(F17,ProjectTimelineData[排名])+SUMPRODUCT(--(F17=ProjectTimelineData[排名]),--(J17&lt;ProjectTimelineData[NUM])),"")</f>
        <v/>
      </c>
      <c r="F17" s="3" t="str">
        <f ca="1">IFERROR(RANK(ProjectTimelineData[[#This Row],[日期]],ProjectTimelineData[日期],1),"")</f>
        <v/>
      </c>
      <c r="G17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7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7" s="2" t="str">
        <f ca="1">IFERROR(IF(ISBLANK(INDEX(ProjectDetails[#Data],ROW(A12)+1,1)),"",IF($J16-1&lt;=-1,"",$J16-1)),"")</f>
        <v/>
      </c>
      <c r="M17" s="3" t="str">
        <f ca="1">IFERROR(ProjectTimelineData[NUM]+1,"")</f>
        <v/>
      </c>
      <c r="N17" s="6" t="str">
        <f ca="1">IFERROR(VLOOKUP(SortedTimeline[经过排序的排名],ProjectTimelineData[],3,0),"")</f>
        <v/>
      </c>
      <c r="O17" s="2" t="str">
        <f ca="1">IFERROR(VLOOKUP(SortedTimeline[经过排序的排名],ProjectTimelineData[],4,0),"")</f>
        <v/>
      </c>
      <c r="P17" s="2" t="str">
        <f ca="1">IFERROR(VLOOKUP(SortedTimeline[经过排序的排名],ProjectTimelineData[],5,0),"")</f>
        <v/>
      </c>
    </row>
    <row r="18" spans="2:16" x14ac:dyDescent="0.3">
      <c r="B18" s="5"/>
      <c r="E18" s="3" t="str">
        <f ca="1">IFERROR(RANK(F18,ProjectTimelineData[排名])+SUMPRODUCT(--(F18=ProjectTimelineData[排名]),--(J18&lt;ProjectTimelineData[NUM])),"")</f>
        <v/>
      </c>
      <c r="F18" s="3" t="str">
        <f ca="1">IFERROR(RANK(ProjectTimelineData[[#This Row],[日期]],ProjectTimelineData[日期],1),"")</f>
        <v/>
      </c>
      <c r="G18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8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8" s="2" t="str">
        <f ca="1">IFERROR(IF(ISBLANK(INDEX(ProjectDetails[#Data],ROW(A13)+1,1)),"",IF($J17-1&lt;=-1,"",$J17-1)),"")</f>
        <v/>
      </c>
      <c r="M18" s="3" t="str">
        <f ca="1">IFERROR(ProjectTimelineData[NUM]+1,"")</f>
        <v/>
      </c>
      <c r="N18" s="6" t="str">
        <f ca="1">IFERROR(VLOOKUP(SortedTimeline[经过排序的排名],ProjectTimelineData[],3,0),"")</f>
        <v/>
      </c>
      <c r="O18" s="2" t="str">
        <f ca="1">IFERROR(VLOOKUP(SortedTimeline[经过排序的排名],ProjectTimelineData[],4,0),"")</f>
        <v/>
      </c>
      <c r="P18" s="2" t="str">
        <f ca="1">IFERROR(VLOOKUP(SortedTimeline[经过排序的排名],ProjectTimelineData[],5,0),"")</f>
        <v/>
      </c>
    </row>
    <row r="19" spans="2:16" x14ac:dyDescent="0.3">
      <c r="E19" s="3" t="str">
        <f ca="1">IFERROR(RANK(F19,ProjectTimelineData[排名])+SUMPRODUCT(--(F19=ProjectTimelineData[排名]),--(J19&lt;ProjectTimelineData[NUM])),"")</f>
        <v/>
      </c>
      <c r="F19" s="3" t="str">
        <f ca="1">IFERROR(RANK(ProjectTimelineData[[#This Row],[日期]],ProjectTimelineData[日期],1),"")</f>
        <v/>
      </c>
      <c r="G19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9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9" s="2" t="str">
        <f ca="1">IFERROR(IF(ISBLANK(INDEX(ProjectDetails[#Data],ROW(A14)+1,1)),"",IF($J18-1&lt;=-1,"",$J18-1)),"")</f>
        <v/>
      </c>
      <c r="M19" s="3" t="str">
        <f ca="1">IFERROR(ProjectTimelineData[NUM]+1,"")</f>
        <v/>
      </c>
      <c r="N19" s="6" t="str">
        <f ca="1">IFERROR(VLOOKUP(SortedTimeline[经过排序的排名],ProjectTimelineData[],3,0),"")</f>
        <v/>
      </c>
      <c r="O19" s="2" t="str">
        <f ca="1">IFERROR(VLOOKUP(SortedTimeline[经过排序的排名],ProjectTimelineData[],4,0),"")</f>
        <v/>
      </c>
      <c r="P19" s="2" t="str">
        <f ca="1">IFERROR(VLOOKUP(SortedTimeline[经过排序的排名],ProjectTimelineData[],5,0),"")</f>
        <v/>
      </c>
    </row>
    <row r="20" spans="2:16" x14ac:dyDescent="0.3">
      <c r="E20" s="3" t="str">
        <f ca="1">IFERROR(RANK(F20,ProjectTimelineData[排名])+SUMPRODUCT(--(F20=ProjectTimelineData[排名]),--(J20&lt;ProjectTimelineData[NUM])),"")</f>
        <v/>
      </c>
      <c r="F20" s="3" t="str">
        <f ca="1">IFERROR(RANK(ProjectTimelineData[[#This Row],[日期]],ProjectTimelineData[日期],1),"")</f>
        <v/>
      </c>
      <c r="G20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0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0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0" s="2" t="str">
        <f ca="1">IFERROR(IF(ISBLANK(INDEX(ProjectDetails[#Data],ROW(A15)+1,1)),"",IF($J19-1&lt;=-1,"",$J19-1)),"")</f>
        <v/>
      </c>
      <c r="M20" s="3" t="str">
        <f ca="1">IFERROR(ProjectTimelineData[NUM]+1,"")</f>
        <v/>
      </c>
      <c r="N20" s="6" t="str">
        <f ca="1">IFERROR(VLOOKUP(SortedTimeline[经过排序的排名],ProjectTimelineData[],3,0),"")</f>
        <v/>
      </c>
      <c r="O20" s="2" t="str">
        <f ca="1">IFERROR(VLOOKUP(SortedTimeline[经过排序的排名],ProjectTimelineData[],4,0),"")</f>
        <v/>
      </c>
      <c r="P20" s="2" t="str">
        <f ca="1">IFERROR(VLOOKUP(SortedTimeline[经过排序的排名],ProjectTimelineData[],5,0),"")</f>
        <v/>
      </c>
    </row>
    <row r="21" spans="2:16" x14ac:dyDescent="0.3">
      <c r="E21" s="3" t="str">
        <f ca="1">IFERROR(RANK(F21,ProjectTimelineData[排名])+SUMPRODUCT(--(F21=ProjectTimelineData[排名]),--(J21&lt;ProjectTimelineData[NUM])),"")</f>
        <v/>
      </c>
      <c r="F21" s="3" t="str">
        <f ca="1">IFERROR(RANK(ProjectTimelineData[[#This Row],[日期]],ProjectTimelineData[日期],1),"")</f>
        <v/>
      </c>
      <c r="G21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1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1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1" s="2" t="str">
        <f ca="1">IFERROR(IF(ISBLANK(INDEX(ProjectDetails[#Data],ROW(A16)+1,1)),"",IF($J20-1&lt;=-1,"",$J20-1)),"")</f>
        <v/>
      </c>
      <c r="M21" s="3" t="str">
        <f ca="1">IFERROR(ProjectTimelineData[NUM]+1,"")</f>
        <v/>
      </c>
      <c r="N21" s="6" t="str">
        <f ca="1">IFERROR(VLOOKUP(SortedTimeline[经过排序的排名],ProjectTimelineData[],3,0),"")</f>
        <v/>
      </c>
      <c r="O21" s="2" t="str">
        <f ca="1">IFERROR(VLOOKUP(SortedTimeline[经过排序的排名],ProjectTimelineData[],4,0),"")</f>
        <v/>
      </c>
      <c r="P21" s="2" t="str">
        <f ca="1">IFERROR(VLOOKUP(SortedTimeline[经过排序的排名],ProjectTimelineData[],5,0),"")</f>
        <v/>
      </c>
    </row>
    <row r="22" spans="2:16" x14ac:dyDescent="0.3">
      <c r="E22" s="3" t="str">
        <f ca="1">IFERROR(RANK(F22,ProjectTimelineData[排名])+SUMPRODUCT(--(F22=ProjectTimelineData[排名]),--(J22&lt;ProjectTimelineData[NUM])),"")</f>
        <v/>
      </c>
      <c r="F22" s="3" t="str">
        <f ca="1">IFERROR(RANK(ProjectTimelineData[[#This Row],[日期]],ProjectTimelineData[日期],1),"")</f>
        <v/>
      </c>
      <c r="G22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2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2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2" s="2" t="str">
        <f ca="1">IFERROR(IF(ISBLANK(INDEX(ProjectDetails[#Data],ROW(A17)+1,1)),"",IF($J21-1&lt;=-1,"",$J21-1)),"")</f>
        <v/>
      </c>
      <c r="M22" s="3" t="str">
        <f ca="1">IFERROR(ProjectTimelineData[NUM]+1,"")</f>
        <v/>
      </c>
      <c r="N22" s="6" t="str">
        <f ca="1">IFERROR(VLOOKUP(SortedTimeline[经过排序的排名],ProjectTimelineData[],3,0),"")</f>
        <v/>
      </c>
      <c r="O22" s="2" t="str">
        <f ca="1">IFERROR(VLOOKUP(SortedTimeline[经过排序的排名],ProjectTimelineData[],4,0),"")</f>
        <v/>
      </c>
      <c r="P22" s="2" t="str">
        <f ca="1">IFERROR(VLOOKUP(SortedTimeline[经过排序的排名],ProjectTimelineData[],5,0),"")</f>
        <v/>
      </c>
    </row>
    <row r="23" spans="2:16" x14ac:dyDescent="0.3">
      <c r="E23" s="3" t="str">
        <f ca="1">IFERROR(RANK(F23,ProjectTimelineData[排名])+SUMPRODUCT(--(F23=ProjectTimelineData[排名]),--(J23&lt;ProjectTimelineData[NUM])),"")</f>
        <v/>
      </c>
      <c r="F23" s="3" t="str">
        <f ca="1">IFERROR(RANK(ProjectTimelineData[[#This Row],[日期]],ProjectTimelineData[日期],1),"")</f>
        <v/>
      </c>
      <c r="G23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3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3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3" s="2" t="str">
        <f ca="1">IFERROR(IF(ISBLANK(INDEX(ProjectDetails[#Data],ROW(A18)+1,1)),"",IF($J22-1&lt;=-1,"",$J22-1)),"")</f>
        <v/>
      </c>
      <c r="M23" s="3" t="str">
        <f ca="1">IFERROR(ProjectTimelineData[NUM]+1,"")</f>
        <v/>
      </c>
      <c r="N23" s="6" t="str">
        <f ca="1">IFERROR(VLOOKUP(SortedTimeline[经过排序的排名],ProjectTimelineData[],3,0),"")</f>
        <v/>
      </c>
      <c r="O23" s="2" t="str">
        <f ca="1">IFERROR(VLOOKUP(SortedTimeline[经过排序的排名],ProjectTimelineData[],4,0),"")</f>
        <v/>
      </c>
      <c r="P23" s="2" t="str">
        <f ca="1">IFERROR(VLOOKUP(SortedTimeline[经过排序的排名],ProjectTimelineData[],5,0),"")</f>
        <v/>
      </c>
    </row>
    <row r="24" spans="2:16" x14ac:dyDescent="0.3">
      <c r="E24" s="3" t="str">
        <f ca="1">IFERROR(RANK(F24,ProjectTimelineData[排名])+SUMPRODUCT(--(F24=ProjectTimelineData[排名]),--(J24&lt;ProjectTimelineData[NUM])),"")</f>
        <v/>
      </c>
      <c r="F24" s="3" t="str">
        <f ca="1">IFERROR(RANK(ProjectTimelineData[[#This Row],[日期]],ProjectTimelineData[日期],1),"")</f>
        <v/>
      </c>
      <c r="G24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4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4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4" s="2" t="str">
        <f ca="1">IFERROR(IF(ISBLANK(INDEX(ProjectDetails[#Data],ROW(A19)+1,1)),"",IF($J23-1&lt;=-1,"",$J23-1)),"")</f>
        <v/>
      </c>
      <c r="M24" s="3" t="str">
        <f ca="1">IFERROR(ProjectTimelineData[NUM]+1,"")</f>
        <v/>
      </c>
      <c r="N24" s="6" t="str">
        <f ca="1">IFERROR(VLOOKUP(SortedTimeline[经过排序的排名],ProjectTimelineData[],3,0),"")</f>
        <v/>
      </c>
      <c r="O24" s="2" t="str">
        <f ca="1">IFERROR(VLOOKUP(SortedTimeline[经过排序的排名],ProjectTimelineData[],4,0),"")</f>
        <v/>
      </c>
      <c r="P24" s="2" t="str">
        <f ca="1">IFERROR(VLOOKUP(SortedTimeline[经过排序的排名],ProjectTimelineData[],5,0),"")</f>
        <v/>
      </c>
    </row>
    <row r="25" spans="2:16" x14ac:dyDescent="0.3">
      <c r="E25" s="3" t="str">
        <f ca="1">IFERROR(RANK(F25,ProjectTimelineData[排名])+SUMPRODUCT(--(F25=ProjectTimelineData[排名]),--(J25&lt;ProjectTimelineData[NUM])),"")</f>
        <v/>
      </c>
      <c r="F25" s="3" t="str">
        <f ca="1">IFERROR(RANK(ProjectTimelineData[[#This Row],[日期]],ProjectTimelineData[日期],1),"")</f>
        <v/>
      </c>
      <c r="G25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5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5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5" s="2" t="str">
        <f ca="1">IFERROR(IF(ISBLANK(INDEX(ProjectDetails[#Data],ROW(A20)+1,1)),"",IF($J24-1&lt;=-1,"",$J24-1)),"")</f>
        <v/>
      </c>
      <c r="M25" s="3" t="str">
        <f ca="1">IFERROR(ProjectTimelineData[NUM]+1,"")</f>
        <v/>
      </c>
      <c r="N25" s="6" t="str">
        <f ca="1">IFERROR(VLOOKUP(SortedTimeline[经过排序的排名],ProjectTimelineData[],3,0),"")</f>
        <v/>
      </c>
      <c r="O25" s="2" t="str">
        <f ca="1">IFERROR(VLOOKUP(SortedTimeline[经过排序的排名],ProjectTimelineData[],4,0),"")</f>
        <v/>
      </c>
      <c r="P25" s="2" t="str">
        <f ca="1">IFERROR(VLOOKUP(SortedTimeline[经过排序的排名],ProjectTimelineData[],5,0),"")</f>
        <v/>
      </c>
    </row>
    <row r="26" spans="2:16" x14ac:dyDescent="0.3">
      <c r="E26" s="3" t="str">
        <f ca="1">IFERROR(RANK(F26,ProjectTimelineData[排名])+SUMPRODUCT(--(F26=ProjectTimelineData[排名]),--(J26&lt;ProjectTimelineData[NUM])),"")</f>
        <v/>
      </c>
      <c r="F26" s="3" t="str">
        <f ca="1">IFERROR(RANK(ProjectTimelineData[[#This Row],[日期]],ProjectTimelineData[日期],1),"")</f>
        <v/>
      </c>
      <c r="G26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6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6" s="2" t="str">
        <f ca="1">IFERROR(IF(ISBLANK(INDEX(ProjectDetails[#Data],ROW(A21)+1,1)),"",IF($J25-1&lt;=-1,"",$J25-1)),"")</f>
        <v/>
      </c>
      <c r="M26" s="3" t="str">
        <f ca="1">IFERROR(ProjectTimelineData[NUM]+1,"")</f>
        <v/>
      </c>
      <c r="N26" s="6" t="str">
        <f ca="1">IFERROR(VLOOKUP(SortedTimeline[经过排序的排名],ProjectTimelineData[],3,0),"")</f>
        <v/>
      </c>
      <c r="O26" s="2" t="str">
        <f ca="1">IFERROR(VLOOKUP(SortedTimeline[经过排序的排名],ProjectTimelineData[],4,0),"")</f>
        <v/>
      </c>
      <c r="P26" s="2" t="str">
        <f ca="1">IFERROR(VLOOKUP(SortedTimeline[经过排序的排名],ProjectTimelineData[],5,0),"")</f>
        <v/>
      </c>
    </row>
    <row r="27" spans="2:16" x14ac:dyDescent="0.3">
      <c r="E27" s="3" t="str">
        <f ca="1">IFERROR(RANK(F27,ProjectTimelineData[排名])+SUMPRODUCT(--(F27=ProjectTimelineData[排名]),--(J27&lt;ProjectTimelineData[NUM])),"")</f>
        <v/>
      </c>
      <c r="F27" s="3" t="str">
        <f ca="1">IFERROR(RANK(ProjectTimelineData[[#This Row],[日期]],ProjectTimelineData[日期],1),"")</f>
        <v/>
      </c>
      <c r="G27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7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7" s="2" t="str">
        <f ca="1">IFERROR(IF(ISBLANK(INDEX(ProjectDetails[#Data],ROW(A22)+1,1)),"",IF($J26-1&lt;=-1,"",$J26-1)),"")</f>
        <v/>
      </c>
      <c r="M27" s="3" t="str">
        <f ca="1">IFERROR(ProjectTimelineData[NUM]+1,"")</f>
        <v/>
      </c>
      <c r="N27" s="6" t="str">
        <f ca="1">IFERROR(VLOOKUP(SortedTimeline[经过排序的排名],ProjectTimelineData[],3,0),"")</f>
        <v/>
      </c>
      <c r="O27" s="2" t="str">
        <f ca="1">IFERROR(VLOOKUP(SortedTimeline[经过排序的排名],ProjectTimelineData[],4,0),"")</f>
        <v/>
      </c>
      <c r="P27" s="2" t="str">
        <f ca="1">IFERROR(VLOOKUP(SortedTimeline[经过排序的排名],ProjectTimelineData[],5,0),"")</f>
        <v/>
      </c>
    </row>
    <row r="28" spans="2:16" x14ac:dyDescent="0.3">
      <c r="E28" s="3" t="str">
        <f ca="1">IFERROR(RANK(F28,ProjectTimelineData[排名])+SUMPRODUCT(--(F28=ProjectTimelineData[排名]),--(J28&lt;ProjectTimelineData[NUM])),"")</f>
        <v/>
      </c>
      <c r="F28" s="3" t="str">
        <f ca="1">IFERROR(RANK(ProjectTimelineData[[#This Row],[日期]],ProjectTimelineData[日期],1),"")</f>
        <v/>
      </c>
      <c r="G28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8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8" s="2" t="str">
        <f ca="1">IFERROR(IF(ISBLANK(INDEX(ProjectDetails[#Data],ROW(A23)+1,1)),"",IF($J27-1&lt;=-1,"",$J27-1)),"")</f>
        <v/>
      </c>
      <c r="M28" s="3" t="str">
        <f ca="1">IFERROR(ProjectTimelineData[NUM]+1,"")</f>
        <v/>
      </c>
      <c r="N28" s="6" t="str">
        <f ca="1">IFERROR(VLOOKUP(SortedTimeline[经过排序的排名],ProjectTimelineData[],3,0),"")</f>
        <v/>
      </c>
      <c r="O28" s="2" t="str">
        <f ca="1">IFERROR(VLOOKUP(SortedTimeline[经过排序的排名],ProjectTimelineData[],4,0),"")</f>
        <v/>
      </c>
      <c r="P28" s="2" t="str">
        <f ca="1">IFERROR(VLOOKUP(SortedTimeline[经过排序的排名],ProjectTimelineData[],5,0),"")</f>
        <v/>
      </c>
    </row>
    <row r="29" spans="2:16" x14ac:dyDescent="0.3">
      <c r="E29" s="3" t="str">
        <f ca="1">IFERROR(RANK(F29,ProjectTimelineData[排名])+SUMPRODUCT(--(F29=ProjectTimelineData[排名]),--(J29&lt;ProjectTimelineData[NUM])),"")</f>
        <v/>
      </c>
      <c r="F29" s="3" t="str">
        <f ca="1">IFERROR(RANK(ProjectTimelineData[[#This Row],[日期]],ProjectTimelineData[日期],1),"")</f>
        <v/>
      </c>
      <c r="G29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9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9" s="2" t="str">
        <f ca="1">IFERROR(IF(ISBLANK(INDEX(ProjectDetails[#Data],ROW(A24)+1,1)),"",IF($J28-1&lt;=-1,"",$J28-1)),"")</f>
        <v/>
      </c>
      <c r="M29" s="3" t="str">
        <f ca="1">IFERROR(ProjectTimelineData[NUM]+1,"")</f>
        <v/>
      </c>
      <c r="N29" s="6" t="str">
        <f ca="1">IFERROR(VLOOKUP(SortedTimeline[经过排序的排名],ProjectTimelineData[],3,0),"")</f>
        <v/>
      </c>
      <c r="O29" s="2" t="str">
        <f ca="1">IFERROR(VLOOKUP(SortedTimeline[经过排序的排名],ProjectTimelineData[],4,0),"")</f>
        <v/>
      </c>
      <c r="P29" s="2" t="str">
        <f ca="1">IFERROR(VLOOKUP(SortedTimeline[经过排序的排名],ProjectTimelineData[],5,0),"")</f>
        <v/>
      </c>
    </row>
    <row r="30" spans="2:16" x14ac:dyDescent="0.3">
      <c r="E30" s="3" t="str">
        <f ca="1">IFERROR(RANK(F30,ProjectTimelineData[排名])+SUMPRODUCT(--(F30=ProjectTimelineData[排名]),--(J30&lt;ProjectTimelineData[NUM])),"")</f>
        <v/>
      </c>
      <c r="F30" s="3" t="str">
        <f ca="1">IFERROR(RANK(ProjectTimelineData[[#This Row],[日期]],ProjectTimelineData[日期],1),"")</f>
        <v/>
      </c>
      <c r="G30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0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0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0" s="2" t="str">
        <f ca="1">IFERROR(IF(ISBLANK(INDEX(ProjectDetails[#Data],ROW(A25)+1,1)),"",IF($J29-1&lt;=-1,"",$J29-1)),"")</f>
        <v/>
      </c>
      <c r="M30" s="3" t="str">
        <f ca="1">IFERROR(ProjectTimelineData[NUM]+1,"")</f>
        <v/>
      </c>
      <c r="N30" s="6" t="str">
        <f ca="1">IFERROR(VLOOKUP(SortedTimeline[经过排序的排名],ProjectTimelineData[],3,0),"")</f>
        <v/>
      </c>
      <c r="O30" s="2" t="str">
        <f ca="1">IFERROR(VLOOKUP(SortedTimeline[经过排序的排名],ProjectTimelineData[],4,0),"")</f>
        <v/>
      </c>
      <c r="P30" s="2" t="str">
        <f ca="1">IFERROR(VLOOKUP(SortedTimeline[经过排序的排名],ProjectTimelineData[],5,0),"")</f>
        <v/>
      </c>
    </row>
    <row r="31" spans="2:16" x14ac:dyDescent="0.3">
      <c r="E31" s="3" t="str">
        <f ca="1">IFERROR(RANK(F31,ProjectTimelineData[排名])+SUMPRODUCT(--(F31=ProjectTimelineData[排名]),--(J31&lt;ProjectTimelineData[NUM])),"")</f>
        <v/>
      </c>
      <c r="F31" s="3" t="str">
        <f ca="1">IFERROR(RANK(ProjectTimelineData[[#This Row],[日期]],ProjectTimelineData[日期],1),"")</f>
        <v/>
      </c>
      <c r="G31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1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1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1" s="2" t="str">
        <f ca="1">IFERROR(IF(ISBLANK(INDEX(ProjectDetails[#Data],ROW(A26)+1,1)),"",IF($J30-1&lt;=-1,"",$J30-1)),"")</f>
        <v/>
      </c>
      <c r="M31" s="3" t="str">
        <f ca="1">IFERROR(ProjectTimelineData[NUM]+1,"")</f>
        <v/>
      </c>
      <c r="N31" s="6" t="str">
        <f ca="1">IFERROR(VLOOKUP(SortedTimeline[经过排序的排名],ProjectTimelineData[],3,0),"")</f>
        <v/>
      </c>
      <c r="O31" s="2" t="str">
        <f ca="1">IFERROR(VLOOKUP(SortedTimeline[经过排序的排名],ProjectTimelineData[],4,0),"")</f>
        <v/>
      </c>
      <c r="P31" s="2" t="str">
        <f ca="1">IFERROR(VLOOKUP(SortedTimeline[经过排序的排名],ProjectTimelineData[],5,0),"")</f>
        <v/>
      </c>
    </row>
    <row r="32" spans="2:16" x14ac:dyDescent="0.3">
      <c r="E32" s="3" t="str">
        <f ca="1">IFERROR(RANK(F32,ProjectTimelineData[排名])+SUMPRODUCT(--(F32=ProjectTimelineData[排名]),--(J32&lt;ProjectTimelineData[NUM])),"")</f>
        <v/>
      </c>
      <c r="F32" s="3" t="str">
        <f ca="1">IFERROR(RANK(ProjectTimelineData[[#This Row],[日期]],ProjectTimelineData[日期],1),"")</f>
        <v/>
      </c>
      <c r="G32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2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2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2" s="2" t="str">
        <f ca="1">IFERROR(IF(ISBLANK(INDEX(ProjectDetails[#Data],ROW(A27)+1,1)),"",IF($J31-1&lt;=-1,"",$J31-1)),"")</f>
        <v/>
      </c>
      <c r="M32" s="3" t="str">
        <f ca="1">IFERROR(ProjectTimelineData[NUM]+1,"")</f>
        <v/>
      </c>
      <c r="N32" s="6" t="str">
        <f ca="1">IFERROR(VLOOKUP(SortedTimeline[经过排序的排名],ProjectTimelineData[],3,0),"")</f>
        <v/>
      </c>
      <c r="O32" s="2" t="str">
        <f ca="1">IFERROR(VLOOKUP(SortedTimeline[经过排序的排名],ProjectTimelineData[],4,0),"")</f>
        <v/>
      </c>
      <c r="P32" s="2" t="str">
        <f ca="1">IFERROR(VLOOKUP(SortedTimeline[经过排序的排名],ProjectTimelineData[],5,0),"")</f>
        <v/>
      </c>
    </row>
    <row r="33" spans="5:16" x14ac:dyDescent="0.3">
      <c r="E33" s="3" t="str">
        <f ca="1">IFERROR(RANK(F33,ProjectTimelineData[排名])+SUMPRODUCT(--(F33=ProjectTimelineData[排名]),--(J33&lt;ProjectTimelineData[NUM])),"")</f>
        <v/>
      </c>
      <c r="F33" s="3" t="str">
        <f ca="1">IFERROR(RANK(ProjectTimelineData[[#This Row],[日期]],ProjectTimelineData[日期],1),"")</f>
        <v/>
      </c>
      <c r="G33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3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3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3" s="2" t="str">
        <f ca="1">IFERROR(IF(ISBLANK(INDEX(ProjectDetails[#Data],ROW(A28)+1,1)),"",IF($J32-1&lt;=-1,"",$J32-1)),"")</f>
        <v/>
      </c>
      <c r="M33" s="3" t="str">
        <f ca="1">IFERROR(ProjectTimelineData[NUM]+1,"")</f>
        <v/>
      </c>
      <c r="N33" s="6" t="str">
        <f ca="1">IFERROR(VLOOKUP(SortedTimeline[经过排序的排名],ProjectTimelineData[],3,0),"")</f>
        <v/>
      </c>
      <c r="O33" s="2" t="str">
        <f ca="1">IFERROR(VLOOKUP(SortedTimeline[经过排序的排名],ProjectTimelineData[],4,0),"")</f>
        <v/>
      </c>
      <c r="P33" s="2" t="str">
        <f ca="1">IFERROR(VLOOKUP(SortedTimeline[经过排序的排名],ProjectTimelineData[],5,0),"")</f>
        <v/>
      </c>
    </row>
    <row r="34" spans="5:16" x14ac:dyDescent="0.3">
      <c r="E34" s="3" t="str">
        <f ca="1">IFERROR(RANK(F34,ProjectTimelineData[排名])+SUMPRODUCT(--(F34=ProjectTimelineData[排名]),--(J34&lt;ProjectTimelineData[NUM])),"")</f>
        <v/>
      </c>
      <c r="F34" s="3" t="str">
        <f ca="1">IFERROR(RANK(ProjectTimelineData[[#This Row],[日期]],ProjectTimelineData[日期],1),"")</f>
        <v/>
      </c>
      <c r="G34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4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4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4" s="2" t="str">
        <f ca="1">IFERROR(IF(ISBLANK(INDEX(ProjectDetails[#Data],ROW(A29)+1,1)),"",IF($J33-1&lt;=-1,"",$J33-1)),"")</f>
        <v/>
      </c>
      <c r="M34" s="3" t="str">
        <f ca="1">IFERROR(ProjectTimelineData[NUM]+1,"")</f>
        <v/>
      </c>
      <c r="N34" s="6" t="str">
        <f ca="1">IFERROR(VLOOKUP(SortedTimeline[经过排序的排名],ProjectTimelineData[],3,0),"")</f>
        <v/>
      </c>
      <c r="O34" s="2" t="str">
        <f ca="1">IFERROR(VLOOKUP(SortedTimeline[经过排序的排名],ProjectTimelineData[],4,0),"")</f>
        <v/>
      </c>
      <c r="P34" s="2" t="str">
        <f ca="1">IFERROR(VLOOKUP(SortedTimeline[经过排序的排名],ProjectTimelineData[],5,0),"")</f>
        <v/>
      </c>
    </row>
    <row r="35" spans="5:16" x14ac:dyDescent="0.3">
      <c r="E35" s="3" t="str">
        <f ca="1">IFERROR(RANK(F35,ProjectTimelineData[排名])+SUMPRODUCT(--(F35=ProjectTimelineData[排名]),--(J35&lt;ProjectTimelineData[NUM])),"")</f>
        <v/>
      </c>
      <c r="F35" s="3" t="str">
        <f ca="1">IFERROR(RANK(ProjectTimelineData[[#This Row],[日期]],ProjectTimelineData[日期],1),"")</f>
        <v/>
      </c>
      <c r="G35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5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5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5" s="2" t="str">
        <f ca="1">IFERROR(IF(ISBLANK(INDEX(ProjectDetails[#Data],ROW(A30)+1,1)),"",IF($J34-1&lt;=-1,"",$J34-1)),"")</f>
        <v/>
      </c>
      <c r="M35" s="3" t="str">
        <f ca="1">IFERROR(ProjectTimelineData[NUM]+1,"")</f>
        <v/>
      </c>
      <c r="N35" s="6" t="str">
        <f ca="1">IFERROR(VLOOKUP(SortedTimeline[经过排序的排名],ProjectTimelineData[],3,0),"")</f>
        <v/>
      </c>
      <c r="O35" s="2" t="str">
        <f ca="1">IFERROR(VLOOKUP(SortedTimeline[经过排序的排名],ProjectTimelineData[],4,0),"")</f>
        <v/>
      </c>
      <c r="P35" s="2" t="str">
        <f ca="1">IFERROR(VLOOKUP(SortedTimeline[经过排序的排名],ProjectTimelineData[],5,0),"")</f>
        <v/>
      </c>
    </row>
    <row r="36" spans="5:16" x14ac:dyDescent="0.3">
      <c r="E36" s="3" t="str">
        <f ca="1">IFERROR(RANK(F36,ProjectTimelineData[排名])+SUMPRODUCT(--(F36=ProjectTimelineData[排名]),--(J36&lt;ProjectTimelineData[NUM])),"")</f>
        <v/>
      </c>
      <c r="F36" s="3" t="str">
        <f ca="1">IFERROR(RANK(ProjectTimelineData[[#This Row],[日期]],ProjectTimelineData[日期],1),"")</f>
        <v/>
      </c>
      <c r="G36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6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6" s="2" t="str">
        <f ca="1">IFERROR(IF(ISBLANK(INDEX(ProjectDetails[#Data],ROW(A31)+1,1)),"",IF($J35-1&lt;=-1,"",$J35-1)),"")</f>
        <v/>
      </c>
      <c r="M36" s="3" t="str">
        <f ca="1">IFERROR(ProjectTimelineData[NUM]+1,"")</f>
        <v/>
      </c>
      <c r="N36" s="6" t="str">
        <f ca="1">IFERROR(VLOOKUP(SortedTimeline[经过排序的排名],ProjectTimelineData[],3,0),"")</f>
        <v/>
      </c>
      <c r="O36" s="2" t="str">
        <f ca="1">IFERROR(VLOOKUP(SortedTimeline[经过排序的排名],ProjectTimelineData[],4,0),"")</f>
        <v/>
      </c>
      <c r="P36" s="2" t="str">
        <f ca="1">IFERROR(VLOOKUP(SortedTimeline[经过排序的排名],ProjectTimelineData[],5,0),"")</f>
        <v/>
      </c>
    </row>
    <row r="37" spans="5:16" x14ac:dyDescent="0.3">
      <c r="E37" s="3" t="str">
        <f ca="1">IFERROR(RANK(F37,ProjectTimelineData[排名])+SUMPRODUCT(--(F37=ProjectTimelineData[排名]),--(J37&lt;ProjectTimelineData[NUM])),"")</f>
        <v/>
      </c>
      <c r="F37" s="3" t="str">
        <f ca="1">IFERROR(RANK(ProjectTimelineData[[#This Row],[日期]],ProjectTimelineData[日期],1),"")</f>
        <v/>
      </c>
      <c r="G37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7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7" s="2" t="str">
        <f ca="1">IFERROR(IF(ISBLANK(INDEX(ProjectDetails[#Data],ROW(A32)+1,1)),"",IF($J36-1&lt;=-1,"",$J36-1)),"")</f>
        <v/>
      </c>
      <c r="M37" s="3" t="str">
        <f ca="1">IFERROR(ProjectTimelineData[NUM]+1,"")</f>
        <v/>
      </c>
      <c r="N37" s="6" t="str">
        <f ca="1">IFERROR(VLOOKUP(SortedTimeline[经过排序的排名],ProjectTimelineData[],3,0),"")</f>
        <v/>
      </c>
      <c r="O37" s="2" t="str">
        <f ca="1">IFERROR(VLOOKUP(SortedTimeline[经过排序的排名],ProjectTimelineData[],4,0),"")</f>
        <v/>
      </c>
      <c r="P37" s="2" t="str">
        <f ca="1">IFERROR(VLOOKUP(SortedTimeline[经过排序的排名],ProjectTimelineData[],5,0),"")</f>
        <v/>
      </c>
    </row>
    <row r="38" spans="5:16" x14ac:dyDescent="0.3">
      <c r="E38" s="3" t="str">
        <f ca="1">IFERROR(RANK(F38,ProjectTimelineData[排名])+SUMPRODUCT(--(F38=ProjectTimelineData[排名]),--(J38&lt;ProjectTimelineData[NUM])),"")</f>
        <v/>
      </c>
      <c r="F38" s="3" t="str">
        <f ca="1">IFERROR(RANK(ProjectTimelineData[[#This Row],[日期]],ProjectTimelineData[日期],1),"")</f>
        <v/>
      </c>
      <c r="G38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8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8" s="2" t="str">
        <f ca="1">IFERROR(IF(ISBLANK(INDEX(ProjectDetails[#Data],ROW(A33)+1,1)),"",IF($J37-1&lt;=-1,"",$J37-1)),"")</f>
        <v/>
      </c>
      <c r="M38" s="3" t="str">
        <f ca="1">IFERROR(ProjectTimelineData[NUM]+1,"")</f>
        <v/>
      </c>
      <c r="N38" s="6" t="str">
        <f ca="1">IFERROR(VLOOKUP(SortedTimeline[经过排序的排名],ProjectTimelineData[],3,0),"")</f>
        <v/>
      </c>
      <c r="O38" s="2" t="str">
        <f ca="1">IFERROR(VLOOKUP(SortedTimeline[经过排序的排名],ProjectTimelineData[],4,0),"")</f>
        <v/>
      </c>
      <c r="P38" s="2" t="str">
        <f ca="1">IFERROR(VLOOKUP(SortedTimeline[经过排序的排名],ProjectTimelineData[],5,0),"")</f>
        <v/>
      </c>
    </row>
    <row r="39" spans="5:16" x14ac:dyDescent="0.3">
      <c r="E39" s="3" t="str">
        <f ca="1">IFERROR(RANK(F39,ProjectTimelineData[排名])+SUMPRODUCT(--(F39=ProjectTimelineData[排名]),--(J39&lt;ProjectTimelineData[NUM])),"")</f>
        <v/>
      </c>
      <c r="F39" s="3" t="str">
        <f ca="1">IFERROR(RANK(ProjectTimelineData[[#This Row],[日期]],ProjectTimelineData[日期],1),"")</f>
        <v/>
      </c>
      <c r="G39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9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9" s="2" t="str">
        <f ca="1">IFERROR(IF(ISBLANK(INDEX(ProjectDetails[#Data],ROW(A34)+1,1)),"",IF($J38-1&lt;=-1,"",$J38-1)),"")</f>
        <v/>
      </c>
      <c r="M39" s="3" t="str">
        <f ca="1">IFERROR(ProjectTimelineData[NUM]+1,"")</f>
        <v/>
      </c>
      <c r="N39" s="6" t="str">
        <f ca="1">IFERROR(VLOOKUP(SortedTimeline[经过排序的排名],ProjectTimelineData[],3,0),"")</f>
        <v/>
      </c>
      <c r="O39" s="2" t="str">
        <f ca="1">IFERROR(VLOOKUP(SortedTimeline[经过排序的排名],ProjectTimelineData[],4,0),"")</f>
        <v/>
      </c>
      <c r="P39" s="2" t="str">
        <f ca="1">IFERROR(VLOOKUP(SortedTimeline[经过排序的排名],ProjectTimelineData[],5,0),"")</f>
        <v/>
      </c>
    </row>
    <row r="40" spans="5:16" x14ac:dyDescent="0.3">
      <c r="E40" s="3" t="str">
        <f ca="1">IFERROR(RANK(F40,ProjectTimelineData[排名])+SUMPRODUCT(--(F40=ProjectTimelineData[排名]),--(J40&lt;ProjectTimelineData[NUM])),"")</f>
        <v/>
      </c>
      <c r="F40" s="3" t="str">
        <f ca="1">IFERROR(RANK(ProjectTimelineData[[#This Row],[日期]],ProjectTimelineData[日期],1),"")</f>
        <v/>
      </c>
      <c r="G40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40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40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40" s="2" t="str">
        <f ca="1">IFERROR(IF(ISBLANK(INDEX(ProjectDetails[#Data],ROW(A35)+1,1)),"",IF($J39-1&lt;=-1,"",$J39-1)),"")</f>
        <v/>
      </c>
      <c r="M40" s="3" t="str">
        <f ca="1">IFERROR(ProjectTimelineData[NUM]+1,"")</f>
        <v/>
      </c>
      <c r="N40" s="6" t="str">
        <f ca="1">IFERROR(VLOOKUP(SortedTimeline[经过排序的排名],ProjectTimelineData[],3,0),"")</f>
        <v/>
      </c>
      <c r="O40" s="2" t="str">
        <f ca="1">IFERROR(VLOOKUP(SortedTimeline[经过排序的排名],ProjectTimelineData[],4,0),"")</f>
        <v/>
      </c>
      <c r="P40" s="2" t="str">
        <f ca="1">IFERROR(VLOOKUP(SortedTimeline[经过排序的排名],ProjectTimelineData[],5,0),"")</f>
        <v/>
      </c>
    </row>
    <row r="41" spans="5:16" x14ac:dyDescent="0.3">
      <c r="E41" s="3" t="str">
        <f ca="1">IFERROR(RANK(F41,ProjectTimelineData[排名])+SUMPRODUCT(--(F41=ProjectTimelineData[排名]),--(J41&lt;ProjectTimelineData[NUM])),"")</f>
        <v/>
      </c>
      <c r="F41" s="3" t="str">
        <f ca="1">IFERROR(RANK(ProjectTimelineData[[#This Row],[日期]],ProjectTimelineData[日期],1),"")</f>
        <v/>
      </c>
      <c r="G41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41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41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41" s="2" t="str">
        <f ca="1">IFERROR(IF(ISBLANK(INDEX(ProjectDetails[#Data],ROW(A36)+1,1)),"",IF($J40-1&lt;=-1,"",$J40-1)),"")</f>
        <v/>
      </c>
      <c r="M41" s="3" t="str">
        <f ca="1">IFERROR(ProjectTimelineData[NUM]+1,"")</f>
        <v/>
      </c>
      <c r="N41" s="6" t="str">
        <f ca="1">IFERROR(VLOOKUP(SortedTimeline[经过排序的排名],ProjectTimelineData[],3,0),"")</f>
        <v/>
      </c>
      <c r="O41" s="2" t="str">
        <f ca="1">IFERROR(VLOOKUP(SortedTimeline[经过排序的排名],ProjectTimelineData[],4,0),"")</f>
        <v/>
      </c>
      <c r="P41" s="2" t="str">
        <f ca="1">IFERROR(VLOOKUP(SortedTimeline[经过排序的排名],ProjectTimelineData[],5,0),"")</f>
        <v/>
      </c>
    </row>
    <row r="42" spans="5:16" x14ac:dyDescent="0.3">
      <c r="E42" s="3" t="str">
        <f ca="1">IFERROR(RANK(F42,ProjectTimelineData[排名])+SUMPRODUCT(--(F42=ProjectTimelineData[排名]),--(J42&lt;ProjectTimelineData[NUM])),"")</f>
        <v/>
      </c>
      <c r="F42" s="3" t="str">
        <f ca="1">IFERROR(RANK(ProjectTimelineData[[#This Row],[日期]],ProjectTimelineData[日期],1),"")</f>
        <v/>
      </c>
      <c r="G42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42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42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42" s="2" t="str">
        <f ca="1">IFERROR(IF(ISBLANK(INDEX(ProjectDetails[#Data],ROW(A37)+1,1)),"",IF($J41-1&lt;=-1,"",$J41-1)),"")</f>
        <v/>
      </c>
      <c r="M42" s="3" t="str">
        <f ca="1">IFERROR(ProjectTimelineData[NUM]+1,"")</f>
        <v/>
      </c>
      <c r="N42" s="6" t="str">
        <f ca="1">IFERROR(VLOOKUP(SortedTimeline[经过排序的排名],ProjectTimelineData[],3,0),"")</f>
        <v/>
      </c>
      <c r="O42" s="2" t="str">
        <f ca="1">IFERROR(VLOOKUP(SortedTimeline[经过排序的排名],ProjectTimelineData[],4,0),"")</f>
        <v/>
      </c>
      <c r="P42" s="2" t="str">
        <f ca="1">IFERROR(VLOOKUP(SortedTimeline[经过排序的排名],ProjectTimelineData[],5,0),"")</f>
        <v/>
      </c>
    </row>
    <row r="43" spans="5:16" x14ac:dyDescent="0.3">
      <c r="E43" s="3" t="str">
        <f ca="1">IFERROR(RANK(F43,ProjectTimelineData[排名])+SUMPRODUCT(--(F43=ProjectTimelineData[排名]),--(J43&lt;ProjectTimelineData[NUM])),"")</f>
        <v/>
      </c>
      <c r="F43" s="3" t="str">
        <f ca="1">IFERROR(RANK(ProjectTimelineData[[#This Row],[日期]],ProjectTimelineData[日期],1),"")</f>
        <v/>
      </c>
      <c r="G43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43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43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43" s="2" t="str">
        <f ca="1">IFERROR(IF(ISBLANK(INDEX(ProjectDetails[#Data],ROW(A38)+1,1)),"",IF($J42-1&lt;=-1,"",$J42-1)),"")</f>
        <v/>
      </c>
      <c r="M43" s="3" t="str">
        <f ca="1">IFERROR(ProjectTimelineData[NUM]+1,"")</f>
        <v/>
      </c>
      <c r="N43" s="6" t="str">
        <f ca="1">IFERROR(VLOOKUP(SortedTimeline[经过排序的排名],ProjectTimelineData[],3,0),"")</f>
        <v/>
      </c>
      <c r="O43" s="2" t="str">
        <f ca="1">IFERROR(VLOOKUP(SortedTimeline[经过排序的排名],ProjectTimelineData[],4,0),"")</f>
        <v/>
      </c>
      <c r="P43" s="2" t="str">
        <f ca="1">IFERROR(VLOOKUP(SortedTimeline[经过排序的排名],ProjectTimelineData[],5,0),"")</f>
        <v/>
      </c>
    </row>
    <row r="44" spans="5:16" x14ac:dyDescent="0.3">
      <c r="E44" s="3" t="str">
        <f ca="1">IFERROR(RANK(F44,ProjectTimelineData[排名])+SUMPRODUCT(--(F44=ProjectTimelineData[排名]),--(J44&lt;ProjectTimelineData[NUM])),"")</f>
        <v/>
      </c>
      <c r="F44" s="3" t="str">
        <f ca="1">IFERROR(RANK(ProjectTimelineData[[#This Row],[日期]],ProjectTimelineData[日期],1),"")</f>
        <v/>
      </c>
      <c r="G44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44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44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44" s="2" t="str">
        <f ca="1">IFERROR(IF(ISBLANK(INDEX(ProjectDetails[#Data],ROW(A39)+1,1)),"",IF($J43-1&lt;=-1,"",$J43-1)),"")</f>
        <v/>
      </c>
      <c r="M44" s="3" t="str">
        <f ca="1">IFERROR(ProjectTimelineData[NUM]+1,"")</f>
        <v/>
      </c>
      <c r="N44" s="6" t="str">
        <f ca="1">IFERROR(VLOOKUP(SortedTimeline[经过排序的排名],ProjectTimelineData[],3,0),"")</f>
        <v/>
      </c>
      <c r="O44" s="2" t="str">
        <f ca="1">IFERROR(VLOOKUP(SortedTimeline[经过排序的排名],ProjectTimelineData[],4,0),"")</f>
        <v/>
      </c>
      <c r="P44" s="2" t="str">
        <f ca="1">IFERROR(VLOOKUP(SortedTimeline[经过排序的排名],ProjectTimelineData[],5,0),"")</f>
        <v/>
      </c>
    </row>
    <row r="45" spans="5:16" x14ac:dyDescent="0.3">
      <c r="E45" s="3" t="str">
        <f ca="1">IFERROR(RANK(F45,ProjectTimelineData[排名])+SUMPRODUCT(--(F45=ProjectTimelineData[排名]),--(J45&lt;ProjectTimelineData[NUM])),"")</f>
        <v/>
      </c>
      <c r="F45" s="3" t="str">
        <f ca="1">IFERROR(RANK(ProjectTimelineData[[#This Row],[日期]],ProjectTimelineData[日期],1),"")</f>
        <v/>
      </c>
      <c r="G45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45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45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45" s="2" t="str">
        <f ca="1">IFERROR(IF(ISBLANK(INDEX(ProjectDetails[#Data],ROW(A40)+1,1)),"",IF($J44-1&lt;=-1,"",$J44-1)),"")</f>
        <v/>
      </c>
      <c r="M45" s="3" t="str">
        <f ca="1">IFERROR(ProjectTimelineData[NUM]+1,"")</f>
        <v/>
      </c>
      <c r="N45" s="6" t="str">
        <f ca="1">IFERROR(VLOOKUP(SortedTimeline[经过排序的排名],ProjectTimelineData[],3,0),"")</f>
        <v/>
      </c>
      <c r="O45" s="2" t="str">
        <f ca="1">IFERROR(VLOOKUP(SortedTimeline[经过排序的排名],ProjectTimelineData[],4,0),"")</f>
        <v/>
      </c>
      <c r="P45" s="2" t="str">
        <f ca="1">IFERROR(VLOOKUP(SortedTimeline[经过排序的排名],ProjectTimelineData[],5,0),"")</f>
        <v/>
      </c>
    </row>
    <row r="46" spans="5:16" x14ac:dyDescent="0.3">
      <c r="E46" s="3" t="str">
        <f ca="1">IFERROR(RANK(F46,ProjectTimelineData[排名])+SUMPRODUCT(--(F46=ProjectTimelineData[排名]),--(J46&lt;ProjectTimelineData[NUM])),"")</f>
        <v/>
      </c>
      <c r="F46" s="3" t="str">
        <f ca="1">IFERROR(RANK(ProjectTimelineData[[#This Row],[日期]],ProjectTimelineData[日期],1),"")</f>
        <v/>
      </c>
      <c r="G46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4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46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46" s="2" t="str">
        <f ca="1">IFERROR(IF(ISBLANK(INDEX(ProjectDetails[#Data],ROW(A41)+1,1)),"",IF($J45-1&lt;=-1,"",$J45-1)),"")</f>
        <v/>
      </c>
      <c r="M46" s="3" t="str">
        <f ca="1">IFERROR(ProjectTimelineData[NUM]+1,"")</f>
        <v/>
      </c>
      <c r="N46" s="6" t="str">
        <f ca="1">IFERROR(VLOOKUP(SortedTimeline[经过排序的排名],ProjectTimelineData[],3,0),"")</f>
        <v/>
      </c>
      <c r="O46" s="2" t="str">
        <f ca="1">IFERROR(VLOOKUP(SortedTimeline[经过排序的排名],ProjectTimelineData[],4,0),"")</f>
        <v/>
      </c>
      <c r="P46" s="2" t="str">
        <f ca="1">IFERROR(VLOOKUP(SortedTimeline[经过排序的排名],ProjectTimelineData[],5,0),"")</f>
        <v/>
      </c>
    </row>
    <row r="47" spans="5:16" x14ac:dyDescent="0.3">
      <c r="E47" s="3" t="str">
        <f ca="1">IFERROR(RANK(F47,ProjectTimelineData[排名])+SUMPRODUCT(--(F47=ProjectTimelineData[排名]),--(J47&lt;ProjectTimelineData[NUM])),"")</f>
        <v/>
      </c>
      <c r="F47" s="3" t="str">
        <f ca="1">IFERROR(RANK(ProjectTimelineData[[#This Row],[日期]],ProjectTimelineData[日期],1),"")</f>
        <v/>
      </c>
      <c r="G47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4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47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47" s="2" t="str">
        <f ca="1">IFERROR(IF(ISBLANK(INDEX(ProjectDetails[#Data],ROW(A42)+1,1)),"",IF($J46-1&lt;=-1,"",$J46-1)),"")</f>
        <v/>
      </c>
      <c r="M47" s="3" t="str">
        <f ca="1">IFERROR(ProjectTimelineData[NUM]+1,"")</f>
        <v/>
      </c>
      <c r="N47" s="6" t="str">
        <f ca="1">IFERROR(VLOOKUP(SortedTimeline[经过排序的排名],ProjectTimelineData[],3,0),"")</f>
        <v/>
      </c>
      <c r="O47" s="2" t="str">
        <f ca="1">IFERROR(VLOOKUP(SortedTimeline[经过排序的排名],ProjectTimelineData[],4,0),"")</f>
        <v/>
      </c>
      <c r="P47" s="2" t="str">
        <f ca="1">IFERROR(VLOOKUP(SortedTimeline[经过排序的排名],ProjectTimelineData[],5,0),"")</f>
        <v/>
      </c>
    </row>
    <row r="48" spans="5:16" x14ac:dyDescent="0.3">
      <c r="E48" s="3" t="str">
        <f ca="1">IFERROR(RANK(F48,ProjectTimelineData[排名])+SUMPRODUCT(--(F48=ProjectTimelineData[排名]),--(J48&lt;ProjectTimelineData[NUM])),"")</f>
        <v/>
      </c>
      <c r="F48" s="3" t="str">
        <f ca="1">IFERROR(RANK(ProjectTimelineData[[#This Row],[日期]],ProjectTimelineData[日期],1),"")</f>
        <v/>
      </c>
      <c r="G48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4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48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48" s="2" t="str">
        <f ca="1">IFERROR(IF(ISBLANK(INDEX(ProjectDetails[#Data],ROW(A43)+1,1)),"",IF($J47-1&lt;=-1,"",$J47-1)),"")</f>
        <v/>
      </c>
      <c r="M48" s="3" t="str">
        <f ca="1">IFERROR(ProjectTimelineData[NUM]+1,"")</f>
        <v/>
      </c>
      <c r="N48" s="6" t="str">
        <f ca="1">IFERROR(VLOOKUP(SortedTimeline[经过排序的排名],ProjectTimelineData[],3,0),"")</f>
        <v/>
      </c>
      <c r="O48" s="2" t="str">
        <f ca="1">IFERROR(VLOOKUP(SortedTimeline[经过排序的排名],ProjectTimelineData[],4,0),"")</f>
        <v/>
      </c>
      <c r="P48" s="2" t="str">
        <f ca="1">IFERROR(VLOOKUP(SortedTimeline[经过排序的排名],ProjectTimelineData[],5,0),"")</f>
        <v/>
      </c>
    </row>
    <row r="49" spans="5:16" x14ac:dyDescent="0.3">
      <c r="E49" s="3" t="str">
        <f ca="1">IFERROR(RANK(F49,ProjectTimelineData[排名])+SUMPRODUCT(--(F49=ProjectTimelineData[排名]),--(J49&lt;ProjectTimelineData[NUM])),"")</f>
        <v/>
      </c>
      <c r="F49" s="3" t="str">
        <f ca="1">IFERROR(RANK(ProjectTimelineData[[#This Row],[日期]],ProjectTimelineData[日期],1),"")</f>
        <v/>
      </c>
      <c r="G49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4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49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49" s="2" t="str">
        <f ca="1">IFERROR(IF(ISBLANK(INDEX(ProjectDetails[#Data],ROW(A44)+1,1)),"",IF($J48-1&lt;=-1,"",$J48-1)),"")</f>
        <v/>
      </c>
      <c r="M49" s="3" t="str">
        <f ca="1">IFERROR(ProjectTimelineData[NUM]+1,"")</f>
        <v/>
      </c>
      <c r="N49" s="6" t="str">
        <f ca="1">IFERROR(VLOOKUP(SortedTimeline[经过排序的排名],ProjectTimelineData[],3,0),"")</f>
        <v/>
      </c>
      <c r="O49" s="2" t="str">
        <f ca="1">IFERROR(VLOOKUP(SortedTimeline[经过排序的排名],ProjectTimelineData[],4,0),"")</f>
        <v/>
      </c>
      <c r="P49" s="2" t="str">
        <f ca="1">IFERROR(VLOOKUP(SortedTimeline[经过排序的排名],ProjectTimelineData[],5,0),"")</f>
        <v/>
      </c>
    </row>
    <row r="50" spans="5:16" x14ac:dyDescent="0.3">
      <c r="E50" s="3" t="str">
        <f ca="1">IFERROR(RANK(F50,ProjectTimelineData[排名])+SUMPRODUCT(--(F50=ProjectTimelineData[排名]),--(J50&lt;ProjectTimelineData[NUM])),"")</f>
        <v/>
      </c>
      <c r="F50" s="3" t="str">
        <f ca="1">IFERROR(RANK(ProjectTimelineData[[#This Row],[日期]],ProjectTimelineData[日期],1),"")</f>
        <v/>
      </c>
      <c r="G50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50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50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50" s="2" t="str">
        <f ca="1">IFERROR(IF(ISBLANK(INDEX(ProjectDetails[#Data],ROW(A45)+1,1)),"",IF($J49-1&lt;=-1,"",$J49-1)),"")</f>
        <v/>
      </c>
      <c r="M50" s="3" t="str">
        <f ca="1">IFERROR(ProjectTimelineData[NUM]+1,"")</f>
        <v/>
      </c>
      <c r="N50" s="6" t="str">
        <f ca="1">IFERROR(VLOOKUP(SortedTimeline[经过排序的排名],ProjectTimelineData[],3,0),"")</f>
        <v/>
      </c>
      <c r="O50" s="2" t="str">
        <f ca="1">IFERROR(VLOOKUP(SortedTimeline[经过排序的排名],ProjectTimelineData[],4,0),"")</f>
        <v/>
      </c>
      <c r="P50" s="2" t="str">
        <f ca="1">IFERROR(VLOOKUP(SortedTimeline[经过排序的排名],ProjectTimelineData[],5,0),"")</f>
        <v/>
      </c>
    </row>
    <row r="51" spans="5:16" x14ac:dyDescent="0.3">
      <c r="E51" s="3" t="str">
        <f ca="1">IFERROR(RANK(F51,ProjectTimelineData[排名])+SUMPRODUCT(--(F51=ProjectTimelineData[排名]),--(J51&lt;ProjectTimelineData[NUM])),"")</f>
        <v/>
      </c>
      <c r="F51" s="3" t="str">
        <f ca="1">IFERROR(RANK(ProjectTimelineData[[#This Row],[日期]],ProjectTimelineData[日期],1),"")</f>
        <v/>
      </c>
      <c r="G51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51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51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51" s="2" t="str">
        <f ca="1">IFERROR(IF(ISBLANK(INDEX(ProjectDetails[#Data],ROW(A46)+1,1)),"",IF($J50-1&lt;=-1,"",$J50-1)),"")</f>
        <v/>
      </c>
      <c r="M51" s="3" t="str">
        <f ca="1">IFERROR(ProjectTimelineData[NUM]+1,"")</f>
        <v/>
      </c>
      <c r="N51" s="6" t="str">
        <f ca="1">IFERROR(VLOOKUP(SortedTimeline[经过排序的排名],ProjectTimelineData[],3,0),"")</f>
        <v/>
      </c>
      <c r="O51" s="2" t="str">
        <f ca="1">IFERROR(VLOOKUP(SortedTimeline[经过排序的排名],ProjectTimelineData[],4,0),"")</f>
        <v/>
      </c>
      <c r="P51" s="2" t="str">
        <f ca="1">IFERROR(VLOOKUP(SortedTimeline[经过排序的排名],ProjectTimelineData[],5,0),"")</f>
        <v/>
      </c>
    </row>
    <row r="52" spans="5:16" x14ac:dyDescent="0.3">
      <c r="E52" s="3" t="str">
        <f ca="1">IFERROR(RANK(F52,ProjectTimelineData[排名])+SUMPRODUCT(--(F52=ProjectTimelineData[排名]),--(J52&lt;ProjectTimelineData[NUM])),"")</f>
        <v/>
      </c>
      <c r="F52" s="3" t="str">
        <f ca="1">IFERROR(RANK(ProjectTimelineData[[#This Row],[日期]],ProjectTimelineData[日期],1),"")</f>
        <v/>
      </c>
      <c r="G52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52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52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52" s="2" t="str">
        <f ca="1">IFERROR(IF(ISBLANK(INDEX(ProjectDetails[#Data],ROW(A47)+1,1)),"",IF($J51-1&lt;=-1,"",$J51-1)),"")</f>
        <v/>
      </c>
      <c r="M52" s="3" t="str">
        <f ca="1">IFERROR(ProjectTimelineData[NUM]+1,"")</f>
        <v/>
      </c>
      <c r="N52" s="6" t="str">
        <f ca="1">IFERROR(VLOOKUP(SortedTimeline[经过排序的排名],ProjectTimelineData[],3,0),"")</f>
        <v/>
      </c>
      <c r="O52" s="2" t="str">
        <f ca="1">IFERROR(VLOOKUP(SortedTimeline[经过排序的排名],ProjectTimelineData[],4,0),"")</f>
        <v/>
      </c>
      <c r="P52" s="2" t="str">
        <f ca="1">IFERROR(VLOOKUP(SortedTimeline[经过排序的排名],ProjectTimelineData[],5,0),"")</f>
        <v/>
      </c>
    </row>
    <row r="53" spans="5:16" x14ac:dyDescent="0.3">
      <c r="E53" s="3" t="str">
        <f ca="1">IFERROR(RANK(F53,ProjectTimelineData[排名])+SUMPRODUCT(--(F53=ProjectTimelineData[排名]),--(J53&lt;ProjectTimelineData[NUM])),"")</f>
        <v/>
      </c>
      <c r="F53" s="3" t="str">
        <f ca="1">IFERROR(RANK(ProjectTimelineData[[#This Row],[日期]],ProjectTimelineData[日期],1),"")</f>
        <v/>
      </c>
      <c r="G53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53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53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53" s="2" t="str">
        <f ca="1">IFERROR(IF(ISBLANK(INDEX(ProjectDetails[#Data],ROW(A48)+1,1)),"",IF($J52-1&lt;=-1,"",$J52-1)),"")</f>
        <v/>
      </c>
      <c r="M53" s="3" t="str">
        <f ca="1">IFERROR(ProjectTimelineData[NUM]+1,"")</f>
        <v/>
      </c>
      <c r="N53" s="6" t="str">
        <f ca="1">IFERROR(VLOOKUP(SortedTimeline[经过排序的排名],ProjectTimelineData[],3,0),"")</f>
        <v/>
      </c>
      <c r="O53" s="2" t="str">
        <f ca="1">IFERROR(VLOOKUP(SortedTimeline[经过排序的排名],ProjectTimelineData[],4,0),"")</f>
        <v/>
      </c>
      <c r="P53" s="2" t="str">
        <f ca="1">IFERROR(VLOOKUP(SortedTimeline[经过排序的排名],ProjectTimelineData[],5,0),"")</f>
        <v/>
      </c>
    </row>
    <row r="54" spans="5:16" x14ac:dyDescent="0.3">
      <c r="E54" s="3" t="str">
        <f ca="1">IFERROR(RANK(F54,ProjectTimelineData[排名])+SUMPRODUCT(--(F54=ProjectTimelineData[排名]),--(J54&lt;ProjectTimelineData[NUM])),"")</f>
        <v/>
      </c>
      <c r="F54" s="3" t="str">
        <f ca="1">IFERROR(RANK(ProjectTimelineData[[#This Row],[日期]],ProjectTimelineData[日期],1),"")</f>
        <v/>
      </c>
      <c r="G54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54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54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54" s="2" t="str">
        <f ca="1">IFERROR(IF(ISBLANK(INDEX(ProjectDetails[#Data],ROW(A49)+1,1)),"",IF($J53-1&lt;=-1,"",$J53-1)),"")</f>
        <v/>
      </c>
      <c r="M54" s="3" t="str">
        <f ca="1">IFERROR(ProjectTimelineData[NUM]+1,"")</f>
        <v/>
      </c>
      <c r="N54" s="6" t="str">
        <f ca="1">IFERROR(VLOOKUP(SortedTimeline[经过排序的排名],ProjectTimelineData[],3,0),"")</f>
        <v/>
      </c>
      <c r="O54" s="2" t="str">
        <f ca="1">IFERROR(VLOOKUP(SortedTimeline[经过排序的排名],ProjectTimelineData[],4,0),"")</f>
        <v/>
      </c>
      <c r="P54" s="2" t="str">
        <f ca="1">IFERROR(VLOOKUP(SortedTimeline[经过排序的排名],ProjectTimelineData[],5,0),"")</f>
        <v/>
      </c>
    </row>
    <row r="55" spans="5:16" x14ac:dyDescent="0.3">
      <c r="E55" s="3" t="str">
        <f ca="1">IFERROR(RANK(F55,ProjectTimelineData[排名])+SUMPRODUCT(--(F55=ProjectTimelineData[排名]),--(J55&lt;ProjectTimelineData[NUM])),"")</f>
        <v/>
      </c>
      <c r="F55" s="3" t="str">
        <f ca="1">IFERROR(RANK(ProjectTimelineData[[#This Row],[日期]],ProjectTimelineData[日期],1),"")</f>
        <v/>
      </c>
      <c r="G55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55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55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55" s="2" t="str">
        <f ca="1">IFERROR(IF(ISBLANK(INDEX(ProjectDetails[#Data],ROW(A50)+1,1)),"",IF($J54-1&lt;=-1,"",$J54-1)),"")</f>
        <v/>
      </c>
      <c r="M55" s="3" t="str">
        <f ca="1">IFERROR(ProjectTimelineData[NUM]+1,"")</f>
        <v/>
      </c>
      <c r="N55" s="6" t="str">
        <f ca="1">IFERROR(VLOOKUP(SortedTimeline[经过排序的排名],ProjectTimelineData[],3,0),"")</f>
        <v/>
      </c>
      <c r="O55" s="2" t="str">
        <f ca="1">IFERROR(VLOOKUP(SortedTimeline[经过排序的排名],ProjectTimelineData[],4,0),"")</f>
        <v/>
      </c>
      <c r="P55" s="2" t="str">
        <f ca="1">IFERROR(VLOOKUP(SortedTimeline[经过排序的排名],ProjectTimelineData[],5,0),"")</f>
        <v/>
      </c>
    </row>
    <row r="56" spans="5:16" x14ac:dyDescent="0.3">
      <c r="E56" s="3" t="str">
        <f ca="1">IFERROR(RANK(F56,ProjectTimelineData[排名])+SUMPRODUCT(--(F56=ProjectTimelineData[排名]),--(J56&lt;ProjectTimelineData[NUM])),"")</f>
        <v/>
      </c>
      <c r="F56" s="3" t="str">
        <f ca="1">IFERROR(RANK(ProjectTimelineData[[#This Row],[日期]],ProjectTimelineData[日期],1),"")</f>
        <v/>
      </c>
      <c r="G56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5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56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56" s="2" t="str">
        <f ca="1">IFERROR(IF(ISBLANK(INDEX(ProjectDetails[#Data],ROW(A51)+1,1)),"",IF($J55-1&lt;=-1,"",$J55-1)),"")</f>
        <v/>
      </c>
      <c r="M56" s="3" t="str">
        <f ca="1">IFERROR(ProjectTimelineData[NUM]+1,"")</f>
        <v/>
      </c>
      <c r="N56" s="6" t="str">
        <f ca="1">IFERROR(VLOOKUP(SortedTimeline[经过排序的排名],ProjectTimelineData[],3,0),"")</f>
        <v/>
      </c>
      <c r="O56" s="2" t="str">
        <f ca="1">IFERROR(VLOOKUP(SortedTimeline[经过排序的排名],ProjectTimelineData[],4,0),"")</f>
        <v/>
      </c>
      <c r="P56" s="2" t="str">
        <f ca="1">IFERROR(VLOOKUP(SortedTimeline[经过排序的排名],ProjectTimelineData[],5,0),"")</f>
        <v/>
      </c>
    </row>
    <row r="57" spans="5:16" x14ac:dyDescent="0.3">
      <c r="E57" s="3" t="str">
        <f ca="1">IFERROR(RANK(F57,ProjectTimelineData[排名])+SUMPRODUCT(--(F57=ProjectTimelineData[排名]),--(J57&lt;ProjectTimelineData[NUM])),"")</f>
        <v/>
      </c>
      <c r="F57" s="3" t="str">
        <f ca="1">IFERROR(RANK(ProjectTimelineData[[#This Row],[日期]],ProjectTimelineData[日期],1),"")</f>
        <v/>
      </c>
      <c r="G57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5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57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57" s="2" t="str">
        <f ca="1">IFERROR(IF(ISBLANK(INDEX(ProjectDetails[#Data],ROW(A52)+1,1)),"",IF($J56-1&lt;=-1,"",$J56-1)),"")</f>
        <v/>
      </c>
      <c r="M57" s="3" t="str">
        <f ca="1">IFERROR(ProjectTimelineData[NUM]+1,"")</f>
        <v/>
      </c>
      <c r="N57" s="6" t="str">
        <f ca="1">IFERROR(VLOOKUP(SortedTimeline[经过排序的排名],ProjectTimelineData[],3,0),"")</f>
        <v/>
      </c>
      <c r="O57" s="2" t="str">
        <f ca="1">IFERROR(VLOOKUP(SortedTimeline[经过排序的排名],ProjectTimelineData[],4,0),"")</f>
        <v/>
      </c>
      <c r="P57" s="2" t="str">
        <f ca="1">IFERROR(VLOOKUP(SortedTimeline[经过排序的排名],ProjectTimelineData[],5,0),"")</f>
        <v/>
      </c>
    </row>
    <row r="58" spans="5:16" x14ac:dyDescent="0.3">
      <c r="E58" s="3" t="str">
        <f ca="1">IFERROR(RANK(F58,ProjectTimelineData[排名])+SUMPRODUCT(--(F58=ProjectTimelineData[排名]),--(J58&lt;ProjectTimelineData[NUM])),"")</f>
        <v/>
      </c>
      <c r="F58" s="3" t="str">
        <f ca="1">IFERROR(RANK(ProjectTimelineData[[#This Row],[日期]],ProjectTimelineData[日期],1),"")</f>
        <v/>
      </c>
      <c r="G58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5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58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58" s="2" t="str">
        <f ca="1">IFERROR(IF(ISBLANK(INDEX(ProjectDetails[#Data],ROW(A53)+1,1)),"",IF($J57-1&lt;=-1,"",$J57-1)),"")</f>
        <v/>
      </c>
      <c r="M58" s="3" t="str">
        <f ca="1">IFERROR(ProjectTimelineData[NUM]+1,"")</f>
        <v/>
      </c>
      <c r="N58" s="6" t="str">
        <f ca="1">IFERROR(VLOOKUP(SortedTimeline[经过排序的排名],ProjectTimelineData[],3,0),"")</f>
        <v/>
      </c>
      <c r="O58" s="2" t="str">
        <f ca="1">IFERROR(VLOOKUP(SortedTimeline[经过排序的排名],ProjectTimelineData[],4,0),"")</f>
        <v/>
      </c>
      <c r="P58" s="2" t="str">
        <f ca="1">IFERROR(VLOOKUP(SortedTimeline[经过排序的排名],ProjectTimelineData[],5,0),"")</f>
        <v/>
      </c>
    </row>
    <row r="59" spans="5:16" x14ac:dyDescent="0.3">
      <c r="E59" s="3" t="str">
        <f ca="1">IFERROR(RANK(F59,ProjectTimelineData[排名])+SUMPRODUCT(--(F59=ProjectTimelineData[排名]),--(J59&lt;ProjectTimelineData[NUM])),"")</f>
        <v/>
      </c>
      <c r="F59" s="3" t="str">
        <f ca="1">IFERROR(RANK(ProjectTimelineData[[#This Row],[日期]],ProjectTimelineData[日期],1),"")</f>
        <v/>
      </c>
      <c r="G59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5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59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59" s="2" t="str">
        <f ca="1">IFERROR(IF(ISBLANK(INDEX(ProjectDetails[#Data],ROW(A54)+1,1)),"",IF($J58-1&lt;=-1,"",$J58-1)),"")</f>
        <v/>
      </c>
      <c r="M59" s="3" t="str">
        <f ca="1">IFERROR(ProjectTimelineData[NUM]+1,"")</f>
        <v/>
      </c>
      <c r="N59" s="6" t="str">
        <f ca="1">IFERROR(VLOOKUP(SortedTimeline[经过排序的排名],ProjectTimelineData[],3,0),"")</f>
        <v/>
      </c>
      <c r="O59" s="2" t="str">
        <f ca="1">IFERROR(VLOOKUP(SortedTimeline[经过排序的排名],ProjectTimelineData[],4,0),"")</f>
        <v/>
      </c>
      <c r="P59" s="2" t="str">
        <f ca="1">IFERROR(VLOOKUP(SortedTimeline[经过排序的排名],ProjectTimelineData[],5,0),"")</f>
        <v/>
      </c>
    </row>
    <row r="60" spans="5:16" x14ac:dyDescent="0.3">
      <c r="E60" s="3" t="str">
        <f ca="1">IFERROR(RANK(F60,ProjectTimelineData[排名])+SUMPRODUCT(--(F60=ProjectTimelineData[排名]),--(J60&lt;ProjectTimelineData[NUM])),"")</f>
        <v/>
      </c>
      <c r="F60" s="3" t="str">
        <f ca="1">IFERROR(RANK(ProjectTimelineData[[#This Row],[日期]],ProjectTimelineData[日期],1),"")</f>
        <v/>
      </c>
      <c r="G60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60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60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60" s="2" t="str">
        <f ca="1">IFERROR(IF(ISBLANK(INDEX(ProjectDetails[#Data],ROW(A55)+1,1)),"",IF($J59-1&lt;=-1,"",$J59-1)),"")</f>
        <v/>
      </c>
      <c r="M60" s="3" t="str">
        <f ca="1">IFERROR(ProjectTimelineData[NUM]+1,"")</f>
        <v/>
      </c>
      <c r="N60" s="6" t="str">
        <f ca="1">IFERROR(VLOOKUP(SortedTimeline[经过排序的排名],ProjectTimelineData[],3,0),"")</f>
        <v/>
      </c>
      <c r="O60" s="2" t="str">
        <f ca="1">IFERROR(VLOOKUP(SortedTimeline[经过排序的排名],ProjectTimelineData[],4,0),"")</f>
        <v/>
      </c>
      <c r="P60" s="2" t="str">
        <f ca="1">IFERROR(VLOOKUP(SortedTimeline[经过排序的排名],ProjectTimelineData[],5,0),"")</f>
        <v/>
      </c>
    </row>
    <row r="61" spans="5:16" x14ac:dyDescent="0.3">
      <c r="E61" s="3" t="str">
        <f ca="1">IFERROR(RANK(F61,ProjectTimelineData[排名])+SUMPRODUCT(--(F61=ProjectTimelineData[排名]),--(J61&lt;ProjectTimelineData[NUM])),"")</f>
        <v/>
      </c>
      <c r="F61" s="3" t="str">
        <f ca="1">IFERROR(RANK(ProjectTimelineData[[#This Row],[日期]],ProjectTimelineData[日期],1),"")</f>
        <v/>
      </c>
      <c r="G61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61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61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61" s="2" t="str">
        <f ca="1">IFERROR(IF(ISBLANK(INDEX(ProjectDetails[#Data],ROW(A56)+1,1)),"",IF($J60-1&lt;=-1,"",$J60-1)),"")</f>
        <v/>
      </c>
      <c r="M61" s="3" t="str">
        <f ca="1">IFERROR(ProjectTimelineData[NUM]+1,"")</f>
        <v/>
      </c>
      <c r="N61" s="6" t="str">
        <f ca="1">IFERROR(VLOOKUP(SortedTimeline[经过排序的排名],ProjectTimelineData[],3,0),"")</f>
        <v/>
      </c>
      <c r="O61" s="2" t="str">
        <f ca="1">IFERROR(VLOOKUP(SortedTimeline[经过排序的排名],ProjectTimelineData[],4,0),"")</f>
        <v/>
      </c>
      <c r="P61" s="2" t="str">
        <f ca="1">IFERROR(VLOOKUP(SortedTimeline[经过排序的排名],ProjectTimelineData[],5,0),"")</f>
        <v/>
      </c>
    </row>
    <row r="62" spans="5:16" x14ac:dyDescent="0.3">
      <c r="E62" s="3" t="str">
        <f ca="1">IFERROR(RANK(F62,ProjectTimelineData[排名])+SUMPRODUCT(--(F62=ProjectTimelineData[排名]),--(J62&lt;ProjectTimelineData[NUM])),"")</f>
        <v/>
      </c>
      <c r="F62" s="3" t="str">
        <f ca="1">IFERROR(RANK(ProjectTimelineData[[#This Row],[日期]],ProjectTimelineData[日期],1),"")</f>
        <v/>
      </c>
      <c r="G62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62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62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62" s="2" t="str">
        <f ca="1">IFERROR(IF(ISBLANK(INDEX(ProjectDetails[#Data],ROW(A57)+1,1)),"",IF($J61-1&lt;=-1,"",$J61-1)),"")</f>
        <v/>
      </c>
      <c r="M62" s="3" t="str">
        <f ca="1">IFERROR(ProjectTimelineData[NUM]+1,"")</f>
        <v/>
      </c>
      <c r="N62" s="6" t="str">
        <f ca="1">IFERROR(VLOOKUP(SortedTimeline[经过排序的排名],ProjectTimelineData[],3,0),"")</f>
        <v/>
      </c>
      <c r="O62" s="2" t="str">
        <f ca="1">IFERROR(VLOOKUP(SortedTimeline[经过排序的排名],ProjectTimelineData[],4,0),"")</f>
        <v/>
      </c>
      <c r="P62" s="2" t="str">
        <f ca="1">IFERROR(VLOOKUP(SortedTimeline[经过排序的排名],ProjectTimelineData[],5,0),"")</f>
        <v/>
      </c>
    </row>
    <row r="63" spans="5:16" x14ac:dyDescent="0.3">
      <c r="E63" s="3" t="str">
        <f ca="1">IFERROR(RANK(F63,ProjectTimelineData[排名])+SUMPRODUCT(--(F63=ProjectTimelineData[排名]),--(J63&lt;ProjectTimelineData[NUM])),"")</f>
        <v/>
      </c>
      <c r="F63" s="3" t="str">
        <f ca="1">IFERROR(RANK(ProjectTimelineData[[#This Row],[日期]],ProjectTimelineData[日期],1),"")</f>
        <v/>
      </c>
      <c r="G63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63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63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63" s="2" t="str">
        <f ca="1">IFERROR(IF(ISBLANK(INDEX(ProjectDetails[#Data],ROW(A58)+1,1)),"",IF($J62-1&lt;=-1,"",$J62-1)),"")</f>
        <v/>
      </c>
      <c r="M63" s="3" t="str">
        <f ca="1">IFERROR(ProjectTimelineData[NUM]+1,"")</f>
        <v/>
      </c>
      <c r="N63" s="6" t="str">
        <f ca="1">IFERROR(VLOOKUP(SortedTimeline[经过排序的排名],ProjectTimelineData[],3,0),"")</f>
        <v/>
      </c>
      <c r="O63" s="2" t="str">
        <f ca="1">IFERROR(VLOOKUP(SortedTimeline[经过排序的排名],ProjectTimelineData[],4,0),"")</f>
        <v/>
      </c>
      <c r="P63" s="2" t="str">
        <f ca="1">IFERROR(VLOOKUP(SortedTimeline[经过排序的排名],ProjectTimelineData[],5,0),"")</f>
        <v/>
      </c>
    </row>
    <row r="64" spans="5:16" x14ac:dyDescent="0.3">
      <c r="E64" s="3" t="str">
        <f ca="1">IFERROR(RANK(F64,ProjectTimelineData[排名])+SUMPRODUCT(--(F64=ProjectTimelineData[排名]),--(J64&lt;ProjectTimelineData[NUM])),"")</f>
        <v/>
      </c>
      <c r="F64" s="3" t="str">
        <f ca="1">IFERROR(RANK(ProjectTimelineData[[#This Row],[日期]],ProjectTimelineData[日期],1),"")</f>
        <v/>
      </c>
      <c r="G64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64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64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64" s="2" t="str">
        <f ca="1">IFERROR(IF(ISBLANK(INDEX(ProjectDetails[#Data],ROW(A59)+1,1)),"",IF($J63-1&lt;=-1,"",$J63-1)),"")</f>
        <v/>
      </c>
      <c r="M64" s="3" t="str">
        <f ca="1">IFERROR(ProjectTimelineData[NUM]+1,"")</f>
        <v/>
      </c>
      <c r="N64" s="6" t="str">
        <f ca="1">IFERROR(VLOOKUP(SortedTimeline[经过排序的排名],ProjectTimelineData[],3,0),"")</f>
        <v/>
      </c>
      <c r="O64" s="2" t="str">
        <f ca="1">IFERROR(VLOOKUP(SortedTimeline[经过排序的排名],ProjectTimelineData[],4,0),"")</f>
        <v/>
      </c>
      <c r="P64" s="2" t="str">
        <f ca="1">IFERROR(VLOOKUP(SortedTimeline[经过排序的排名],ProjectTimelineData[],5,0),"")</f>
        <v/>
      </c>
    </row>
    <row r="65" spans="5:16" x14ac:dyDescent="0.3">
      <c r="E65" s="3" t="str">
        <f ca="1">IFERROR(RANK(F65,ProjectTimelineData[排名])+SUMPRODUCT(--(F65=ProjectTimelineData[排名]),--(J65&lt;ProjectTimelineData[NUM])),"")</f>
        <v/>
      </c>
      <c r="F65" s="3" t="str">
        <f ca="1">IFERROR(RANK(ProjectTimelineData[[#This Row],[日期]],ProjectTimelineData[日期],1),"")</f>
        <v/>
      </c>
      <c r="G65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65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65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65" s="2" t="str">
        <f ca="1">IFERROR(IF(ISBLANK(INDEX(ProjectDetails[#Data],ROW(A60)+1,1)),"",IF($J64-1&lt;=-1,"",$J64-1)),"")</f>
        <v/>
      </c>
      <c r="M65" s="3" t="str">
        <f ca="1">IFERROR(ProjectTimelineData[NUM]+1,"")</f>
        <v/>
      </c>
      <c r="N65" s="6" t="str">
        <f ca="1">IFERROR(VLOOKUP(SortedTimeline[经过排序的排名],ProjectTimelineData[],3,0),"")</f>
        <v/>
      </c>
      <c r="O65" s="2" t="str">
        <f ca="1">IFERROR(VLOOKUP(SortedTimeline[经过排序的排名],ProjectTimelineData[],4,0),"")</f>
        <v/>
      </c>
      <c r="P65" s="2" t="str">
        <f ca="1">IFERROR(VLOOKUP(SortedTimeline[经过排序的排名],ProjectTimelineData[],5,0),"")</f>
        <v/>
      </c>
    </row>
    <row r="66" spans="5:16" x14ac:dyDescent="0.3">
      <c r="E66" s="3" t="str">
        <f ca="1">IFERROR(RANK(F66,ProjectTimelineData[排名])+SUMPRODUCT(--(F66=ProjectTimelineData[排名]),--(J66&lt;ProjectTimelineData[NUM])),"")</f>
        <v/>
      </c>
      <c r="F66" s="3" t="str">
        <f ca="1">IFERROR(RANK(ProjectTimelineData[[#This Row],[日期]],ProjectTimelineData[日期],1),"")</f>
        <v/>
      </c>
      <c r="G66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6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66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66" s="2" t="str">
        <f ca="1">IFERROR(IF(ISBLANK(INDEX(ProjectDetails[#Data],ROW(A61)+1,1)),"",IF($J65-1&lt;=-1,"",$J65-1)),"")</f>
        <v/>
      </c>
      <c r="M66" s="3" t="str">
        <f ca="1">IFERROR(ProjectTimelineData[NUM]+1,"")</f>
        <v/>
      </c>
      <c r="N66" s="6" t="str">
        <f ca="1">IFERROR(VLOOKUP(SortedTimeline[经过排序的排名],ProjectTimelineData[],3,0),"")</f>
        <v/>
      </c>
      <c r="O66" s="2" t="str">
        <f ca="1">IFERROR(VLOOKUP(SortedTimeline[经过排序的排名],ProjectTimelineData[],4,0),"")</f>
        <v/>
      </c>
      <c r="P66" s="2" t="str">
        <f ca="1">IFERROR(VLOOKUP(SortedTimeline[经过排序的排名],ProjectTimelineData[],5,0),"")</f>
        <v/>
      </c>
    </row>
    <row r="67" spans="5:16" x14ac:dyDescent="0.3">
      <c r="E67" s="3" t="str">
        <f ca="1">IFERROR(RANK(F67,ProjectTimelineData[排名])+SUMPRODUCT(--(F67=ProjectTimelineData[排名]),--(J67&lt;ProjectTimelineData[NUM])),"")</f>
        <v/>
      </c>
      <c r="F67" s="3" t="str">
        <f ca="1">IFERROR(RANK(ProjectTimelineData[[#This Row],[日期]],ProjectTimelineData[日期],1),"")</f>
        <v/>
      </c>
      <c r="G67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6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67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67" s="2" t="str">
        <f ca="1">IFERROR(IF(ISBLANK(INDEX(ProjectDetails[#Data],ROW(A62)+1,1)),"",IF($J66-1&lt;=-1,"",$J66-1)),"")</f>
        <v/>
      </c>
      <c r="M67" s="3" t="str">
        <f ca="1">IFERROR(ProjectTimelineData[NUM]+1,"")</f>
        <v/>
      </c>
      <c r="N67" s="6" t="str">
        <f ca="1">IFERROR(VLOOKUP(SortedTimeline[经过排序的排名],ProjectTimelineData[],3,0),"")</f>
        <v/>
      </c>
      <c r="O67" s="2" t="str">
        <f ca="1">IFERROR(VLOOKUP(SortedTimeline[经过排序的排名],ProjectTimelineData[],4,0),"")</f>
        <v/>
      </c>
      <c r="P67" s="2" t="str">
        <f ca="1">IFERROR(VLOOKUP(SortedTimeline[经过排序的排名],ProjectTimelineData[],5,0),"")</f>
        <v/>
      </c>
    </row>
    <row r="68" spans="5:16" x14ac:dyDescent="0.3">
      <c r="E68" s="3" t="str">
        <f ca="1">IFERROR(RANK(F68,ProjectTimelineData[排名])+SUMPRODUCT(--(F68=ProjectTimelineData[排名]),--(J68&lt;ProjectTimelineData[NUM])),"")</f>
        <v/>
      </c>
      <c r="F68" s="3" t="str">
        <f ca="1">IFERROR(RANK(ProjectTimelineData[[#This Row],[日期]],ProjectTimelineData[日期],1),"")</f>
        <v/>
      </c>
      <c r="G68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6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68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68" s="2" t="str">
        <f ca="1">IFERROR(IF(ISBLANK(INDEX(ProjectDetails[#Data],ROW(A63)+1,1)),"",IF($J67-1&lt;=-1,"",$J67-1)),"")</f>
        <v/>
      </c>
      <c r="M68" s="3" t="str">
        <f ca="1">IFERROR(ProjectTimelineData[NUM]+1,"")</f>
        <v/>
      </c>
      <c r="N68" s="6" t="str">
        <f ca="1">IFERROR(VLOOKUP(SortedTimeline[经过排序的排名],ProjectTimelineData[],3,0),"")</f>
        <v/>
      </c>
      <c r="O68" s="2" t="str">
        <f ca="1">IFERROR(VLOOKUP(SortedTimeline[经过排序的排名],ProjectTimelineData[],4,0),"")</f>
        <v/>
      </c>
      <c r="P68" s="2" t="str">
        <f ca="1">IFERROR(VLOOKUP(SortedTimeline[经过排序的排名],ProjectTimelineData[],5,0),"")</f>
        <v/>
      </c>
    </row>
    <row r="69" spans="5:16" x14ac:dyDescent="0.3">
      <c r="E69" s="3" t="str">
        <f ca="1">IFERROR(RANK(F69,ProjectTimelineData[排名])+SUMPRODUCT(--(F69=ProjectTimelineData[排名]),--(J69&lt;ProjectTimelineData[NUM])),"")</f>
        <v/>
      </c>
      <c r="F69" s="3" t="str">
        <f ca="1">IFERROR(RANK(ProjectTimelineData[[#This Row],[日期]],ProjectTimelineData[日期],1),"")</f>
        <v/>
      </c>
      <c r="G69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6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69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69" s="2" t="str">
        <f ca="1">IFERROR(IF(ISBLANK(INDEX(ProjectDetails[#Data],ROW(A64)+1,1)),"",IF($J68-1&lt;=-1,"",$J68-1)),"")</f>
        <v/>
      </c>
      <c r="M69" s="3" t="str">
        <f ca="1">IFERROR(ProjectTimelineData[NUM]+1,"")</f>
        <v/>
      </c>
      <c r="N69" s="6" t="str">
        <f ca="1">IFERROR(VLOOKUP(SortedTimeline[经过排序的排名],ProjectTimelineData[],3,0),"")</f>
        <v/>
      </c>
      <c r="O69" s="2" t="str">
        <f ca="1">IFERROR(VLOOKUP(SortedTimeline[经过排序的排名],ProjectTimelineData[],4,0),"")</f>
        <v/>
      </c>
      <c r="P69" s="2" t="str">
        <f ca="1">IFERROR(VLOOKUP(SortedTimeline[经过排序的排名],ProjectTimelineData[],5,0),"")</f>
        <v/>
      </c>
    </row>
    <row r="70" spans="5:16" x14ac:dyDescent="0.3">
      <c r="E70" s="3" t="str">
        <f ca="1">IFERROR(RANK(F70,ProjectTimelineData[排名])+SUMPRODUCT(--(F70=ProjectTimelineData[排名]),--(J70&lt;ProjectTimelineData[NUM])),"")</f>
        <v/>
      </c>
      <c r="F70" s="3" t="str">
        <f ca="1">IFERROR(RANK(ProjectTimelineData[[#This Row],[日期]],ProjectTimelineData[日期],1),"")</f>
        <v/>
      </c>
      <c r="G70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70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70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70" s="2" t="str">
        <f ca="1">IFERROR(IF(ISBLANK(INDEX(ProjectDetails[#Data],ROW(A65)+1,1)),"",IF($J69-1&lt;=-1,"",$J69-1)),"")</f>
        <v/>
      </c>
      <c r="M70" s="3" t="str">
        <f ca="1">IFERROR(ProjectTimelineData[NUM]+1,"")</f>
        <v/>
      </c>
      <c r="N70" s="6" t="str">
        <f ca="1">IFERROR(VLOOKUP(SortedTimeline[经过排序的排名],ProjectTimelineData[],3,0),"")</f>
        <v/>
      </c>
      <c r="O70" s="2" t="str">
        <f ca="1">IFERROR(VLOOKUP(SortedTimeline[经过排序的排名],ProjectTimelineData[],4,0),"")</f>
        <v/>
      </c>
      <c r="P70" s="2" t="str">
        <f ca="1">IFERROR(VLOOKUP(SortedTimeline[经过排序的排名],ProjectTimelineData[],5,0),"")</f>
        <v/>
      </c>
    </row>
    <row r="71" spans="5:16" x14ac:dyDescent="0.3">
      <c r="E71" s="3" t="str">
        <f ca="1">IFERROR(RANK(F71,ProjectTimelineData[排名])+SUMPRODUCT(--(F71=ProjectTimelineData[排名]),--(J71&lt;ProjectTimelineData[NUM])),"")</f>
        <v/>
      </c>
      <c r="F71" s="3" t="str">
        <f ca="1">IFERROR(RANK(ProjectTimelineData[[#This Row],[日期]],ProjectTimelineData[日期],1),"")</f>
        <v/>
      </c>
      <c r="G71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71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71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71" s="2" t="str">
        <f ca="1">IFERROR(IF(ISBLANK(INDEX(ProjectDetails[#Data],ROW(A66)+1,1)),"",IF($J70-1&lt;=-1,"",$J70-1)),"")</f>
        <v/>
      </c>
      <c r="M71" s="3" t="str">
        <f ca="1">IFERROR(ProjectTimelineData[NUM]+1,"")</f>
        <v/>
      </c>
      <c r="N71" s="6" t="str">
        <f ca="1">IFERROR(VLOOKUP(SortedTimeline[经过排序的排名],ProjectTimelineData[],3,0),"")</f>
        <v/>
      </c>
      <c r="O71" s="2" t="str">
        <f ca="1">IFERROR(VLOOKUP(SortedTimeline[经过排序的排名],ProjectTimelineData[],4,0),"")</f>
        <v/>
      </c>
      <c r="P71" s="2" t="str">
        <f ca="1">IFERROR(VLOOKUP(SortedTimeline[经过排序的排名],ProjectTimelineData[],5,0),"")</f>
        <v/>
      </c>
    </row>
    <row r="72" spans="5:16" x14ac:dyDescent="0.3">
      <c r="E72" s="3" t="str">
        <f ca="1">IFERROR(RANK(F72,ProjectTimelineData[排名])+SUMPRODUCT(--(F72=ProjectTimelineData[排名]),--(J72&lt;ProjectTimelineData[NUM])),"")</f>
        <v/>
      </c>
      <c r="F72" s="3" t="str">
        <f ca="1">IFERROR(RANK(ProjectTimelineData[[#This Row],[日期]],ProjectTimelineData[日期],1),"")</f>
        <v/>
      </c>
      <c r="G72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72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72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72" s="2" t="str">
        <f ca="1">IFERROR(IF(ISBLANK(INDEX(ProjectDetails[#Data],ROW(A67)+1,1)),"",IF($J71-1&lt;=-1,"",$J71-1)),"")</f>
        <v/>
      </c>
      <c r="M72" s="3" t="str">
        <f ca="1">IFERROR(ProjectTimelineData[NUM]+1,"")</f>
        <v/>
      </c>
      <c r="N72" s="6" t="str">
        <f ca="1">IFERROR(VLOOKUP(SortedTimeline[经过排序的排名],ProjectTimelineData[],3,0),"")</f>
        <v/>
      </c>
      <c r="O72" s="2" t="str">
        <f ca="1">IFERROR(VLOOKUP(SortedTimeline[经过排序的排名],ProjectTimelineData[],4,0),"")</f>
        <v/>
      </c>
      <c r="P72" s="2" t="str">
        <f ca="1">IFERROR(VLOOKUP(SortedTimeline[经过排序的排名],ProjectTimelineData[],5,0),"")</f>
        <v/>
      </c>
    </row>
    <row r="73" spans="5:16" x14ac:dyDescent="0.3">
      <c r="E73" s="3" t="str">
        <f ca="1">IFERROR(RANK(F73,ProjectTimelineData[排名])+SUMPRODUCT(--(F73=ProjectTimelineData[排名]),--(J73&lt;ProjectTimelineData[NUM])),"")</f>
        <v/>
      </c>
      <c r="F73" s="3" t="str">
        <f ca="1">IFERROR(RANK(ProjectTimelineData[[#This Row],[日期]],ProjectTimelineData[日期],1),"")</f>
        <v/>
      </c>
      <c r="G73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73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73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73" s="2" t="str">
        <f ca="1">IFERROR(IF(ISBLANK(INDEX(ProjectDetails[#Data],ROW(A68)+1,1)),"",IF($J72-1&lt;=-1,"",$J72-1)),"")</f>
        <v/>
      </c>
      <c r="M73" s="3" t="str">
        <f ca="1">IFERROR(ProjectTimelineData[NUM]+1,"")</f>
        <v/>
      </c>
      <c r="N73" s="6" t="str">
        <f ca="1">IFERROR(VLOOKUP(SortedTimeline[经过排序的排名],ProjectTimelineData[],3,0),"")</f>
        <v/>
      </c>
      <c r="O73" s="2" t="str">
        <f ca="1">IFERROR(VLOOKUP(SortedTimeline[经过排序的排名],ProjectTimelineData[],4,0),"")</f>
        <v/>
      </c>
      <c r="P73" s="2" t="str">
        <f ca="1">IFERROR(VLOOKUP(SortedTimeline[经过排序的排名],ProjectTimelineData[],5,0),"")</f>
        <v/>
      </c>
    </row>
    <row r="74" spans="5:16" x14ac:dyDescent="0.3">
      <c r="E74" s="3" t="str">
        <f ca="1">IFERROR(RANK(F74,ProjectTimelineData[排名])+SUMPRODUCT(--(F74=ProjectTimelineData[排名]),--(J74&lt;ProjectTimelineData[NUM])),"")</f>
        <v/>
      </c>
      <c r="F74" s="3" t="str">
        <f ca="1">IFERROR(RANK(ProjectTimelineData[[#This Row],[日期]],ProjectTimelineData[日期],1),"")</f>
        <v/>
      </c>
      <c r="G74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74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74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74" s="2" t="str">
        <f ca="1">IFERROR(IF(ISBLANK(INDEX(ProjectDetails[#Data],ROW(A69)+1,1)),"",IF($J73-1&lt;=-1,"",$J73-1)),"")</f>
        <v/>
      </c>
      <c r="M74" s="3" t="str">
        <f ca="1">IFERROR(ProjectTimelineData[NUM]+1,"")</f>
        <v/>
      </c>
      <c r="N74" s="6" t="str">
        <f ca="1">IFERROR(VLOOKUP(SortedTimeline[经过排序的排名],ProjectTimelineData[],3,0),"")</f>
        <v/>
      </c>
      <c r="O74" s="2" t="str">
        <f ca="1">IFERROR(VLOOKUP(SortedTimeline[经过排序的排名],ProjectTimelineData[],4,0),"")</f>
        <v/>
      </c>
      <c r="P74" s="2" t="str">
        <f ca="1">IFERROR(VLOOKUP(SortedTimeline[经过排序的排名],ProjectTimelineData[],5,0),"")</f>
        <v/>
      </c>
    </row>
    <row r="75" spans="5:16" x14ac:dyDescent="0.3">
      <c r="E75" s="3" t="str">
        <f ca="1">IFERROR(RANK(F75,ProjectTimelineData[排名])+SUMPRODUCT(--(F75=ProjectTimelineData[排名]),--(J75&lt;ProjectTimelineData[NUM])),"")</f>
        <v/>
      </c>
      <c r="F75" s="3" t="str">
        <f ca="1">IFERROR(RANK(ProjectTimelineData[[#This Row],[日期]],ProjectTimelineData[日期],1),"")</f>
        <v/>
      </c>
      <c r="G75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75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75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75" s="2" t="str">
        <f ca="1">IFERROR(IF(ISBLANK(INDEX(ProjectDetails[#Data],ROW(A70)+1,1)),"",IF($J74-1&lt;=-1,"",$J74-1)),"")</f>
        <v/>
      </c>
      <c r="M75" s="3" t="str">
        <f ca="1">IFERROR(ProjectTimelineData[NUM]+1,"")</f>
        <v/>
      </c>
      <c r="N75" s="6" t="str">
        <f ca="1">IFERROR(VLOOKUP(SortedTimeline[经过排序的排名],ProjectTimelineData[],3,0),"")</f>
        <v/>
      </c>
      <c r="O75" s="2" t="str">
        <f ca="1">IFERROR(VLOOKUP(SortedTimeline[经过排序的排名],ProjectTimelineData[],4,0),"")</f>
        <v/>
      </c>
      <c r="P75" s="2" t="str">
        <f ca="1">IFERROR(VLOOKUP(SortedTimeline[经过排序的排名],ProjectTimelineData[],5,0),"")</f>
        <v/>
      </c>
    </row>
    <row r="76" spans="5:16" x14ac:dyDescent="0.3">
      <c r="E76" s="3" t="str">
        <f ca="1">IFERROR(RANK(F76,ProjectTimelineData[排名])+SUMPRODUCT(--(F76=ProjectTimelineData[排名]),--(J76&lt;ProjectTimelineData[NUM])),"")</f>
        <v/>
      </c>
      <c r="F76" s="3" t="str">
        <f ca="1">IFERROR(RANK(ProjectTimelineData[[#This Row],[日期]],ProjectTimelineData[日期],1),"")</f>
        <v/>
      </c>
      <c r="G76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7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76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76" s="2" t="str">
        <f ca="1">IFERROR(IF(ISBLANK(INDEX(ProjectDetails[#Data],ROW(A71)+1,1)),"",IF($J75-1&lt;=-1,"",$J75-1)),"")</f>
        <v/>
      </c>
      <c r="M76" s="3" t="str">
        <f ca="1">IFERROR(ProjectTimelineData[NUM]+1,"")</f>
        <v/>
      </c>
      <c r="N76" s="6" t="str">
        <f ca="1">IFERROR(VLOOKUP(SortedTimeline[经过排序的排名],ProjectTimelineData[],3,0),"")</f>
        <v/>
      </c>
      <c r="O76" s="2" t="str">
        <f ca="1">IFERROR(VLOOKUP(SortedTimeline[经过排序的排名],ProjectTimelineData[],4,0),"")</f>
        <v/>
      </c>
      <c r="P76" s="2" t="str">
        <f ca="1">IFERROR(VLOOKUP(SortedTimeline[经过排序的排名],ProjectTimelineData[],5,0),"")</f>
        <v/>
      </c>
    </row>
    <row r="77" spans="5:16" x14ac:dyDescent="0.3">
      <c r="E77" s="3" t="str">
        <f ca="1">IFERROR(RANK(F77,ProjectTimelineData[排名])+SUMPRODUCT(--(F77=ProjectTimelineData[排名]),--(J77&lt;ProjectTimelineData[NUM])),"")</f>
        <v/>
      </c>
      <c r="F77" s="3" t="str">
        <f ca="1">IFERROR(RANK(ProjectTimelineData[[#This Row],[日期]],ProjectTimelineData[日期],1),"")</f>
        <v/>
      </c>
      <c r="G77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7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77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77" s="2" t="str">
        <f ca="1">IFERROR(IF(ISBLANK(INDEX(ProjectDetails[#Data],ROW(A72)+1,1)),"",IF($J76-1&lt;=-1,"",$J76-1)),"")</f>
        <v/>
      </c>
      <c r="M77" s="3" t="str">
        <f ca="1">IFERROR(ProjectTimelineData[NUM]+1,"")</f>
        <v/>
      </c>
      <c r="N77" s="6" t="str">
        <f ca="1">IFERROR(VLOOKUP(SortedTimeline[经过排序的排名],ProjectTimelineData[],3,0),"")</f>
        <v/>
      </c>
      <c r="O77" s="2" t="str">
        <f ca="1">IFERROR(VLOOKUP(SortedTimeline[经过排序的排名],ProjectTimelineData[],4,0),"")</f>
        <v/>
      </c>
      <c r="P77" s="2" t="str">
        <f ca="1">IFERROR(VLOOKUP(SortedTimeline[经过排序的排名],ProjectTimelineData[],5,0),"")</f>
        <v/>
      </c>
    </row>
    <row r="78" spans="5:16" x14ac:dyDescent="0.3">
      <c r="E78" s="3" t="str">
        <f ca="1">IFERROR(RANK(F78,ProjectTimelineData[排名])+SUMPRODUCT(--(F78=ProjectTimelineData[排名]),--(J78&lt;ProjectTimelineData[NUM])),"")</f>
        <v/>
      </c>
      <c r="F78" s="3" t="str">
        <f ca="1">IFERROR(RANK(ProjectTimelineData[[#This Row],[日期]],ProjectTimelineData[日期],1),"")</f>
        <v/>
      </c>
      <c r="G78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7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78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78" s="2" t="str">
        <f ca="1">IFERROR(IF(ISBLANK(INDEX(ProjectDetails[#Data],ROW(A73)+1,1)),"",IF($J77-1&lt;=-1,"",$J77-1)),"")</f>
        <v/>
      </c>
      <c r="M78" s="3" t="str">
        <f ca="1">IFERROR(ProjectTimelineData[NUM]+1,"")</f>
        <v/>
      </c>
      <c r="N78" s="6" t="str">
        <f ca="1">IFERROR(VLOOKUP(SortedTimeline[经过排序的排名],ProjectTimelineData[],3,0),"")</f>
        <v/>
      </c>
      <c r="O78" s="2" t="str">
        <f ca="1">IFERROR(VLOOKUP(SortedTimeline[经过排序的排名],ProjectTimelineData[],4,0),"")</f>
        <v/>
      </c>
      <c r="P78" s="2" t="str">
        <f ca="1">IFERROR(VLOOKUP(SortedTimeline[经过排序的排名],ProjectTimelineData[],5,0),"")</f>
        <v/>
      </c>
    </row>
    <row r="79" spans="5:16" x14ac:dyDescent="0.3">
      <c r="E79" s="3" t="str">
        <f ca="1">IFERROR(RANK(F79,ProjectTimelineData[排名])+SUMPRODUCT(--(F79=ProjectTimelineData[排名]),--(J79&lt;ProjectTimelineData[NUM])),"")</f>
        <v/>
      </c>
      <c r="F79" s="3" t="str">
        <f ca="1">IFERROR(RANK(ProjectTimelineData[[#This Row],[日期]],ProjectTimelineData[日期],1),"")</f>
        <v/>
      </c>
      <c r="G79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7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79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79" s="2" t="str">
        <f ca="1">IFERROR(IF(ISBLANK(INDEX(ProjectDetails[#Data],ROW(A74)+1,1)),"",IF($J78-1&lt;=-1,"",$J78-1)),"")</f>
        <v/>
      </c>
      <c r="M79" s="3" t="str">
        <f ca="1">IFERROR(ProjectTimelineData[NUM]+1,"")</f>
        <v/>
      </c>
      <c r="N79" s="6" t="str">
        <f ca="1">IFERROR(VLOOKUP(SortedTimeline[经过排序的排名],ProjectTimelineData[],3,0),"")</f>
        <v/>
      </c>
      <c r="O79" s="2" t="str">
        <f ca="1">IFERROR(VLOOKUP(SortedTimeline[经过排序的排名],ProjectTimelineData[],4,0),"")</f>
        <v/>
      </c>
      <c r="P79" s="2" t="str">
        <f ca="1">IFERROR(VLOOKUP(SortedTimeline[经过排序的排名],ProjectTimelineData[],5,0),"")</f>
        <v/>
      </c>
    </row>
    <row r="80" spans="5:16" x14ac:dyDescent="0.3">
      <c r="E80" s="3" t="str">
        <f ca="1">IFERROR(RANK(F80,ProjectTimelineData[排名])+SUMPRODUCT(--(F80=ProjectTimelineData[排名]),--(J80&lt;ProjectTimelineData[NUM])),"")</f>
        <v/>
      </c>
      <c r="F80" s="3" t="str">
        <f ca="1">IFERROR(RANK(ProjectTimelineData[[#This Row],[日期]],ProjectTimelineData[日期],1),"")</f>
        <v/>
      </c>
      <c r="G80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80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80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80" s="2" t="str">
        <f ca="1">IFERROR(IF(ISBLANK(INDEX(ProjectDetails[#Data],ROW(A75)+1,1)),"",IF($J79-1&lt;=-1,"",$J79-1)),"")</f>
        <v/>
      </c>
      <c r="M80" s="3" t="str">
        <f ca="1">IFERROR(ProjectTimelineData[NUM]+1,"")</f>
        <v/>
      </c>
      <c r="N80" s="6" t="str">
        <f ca="1">IFERROR(VLOOKUP(SortedTimeline[经过排序的排名],ProjectTimelineData[],3,0),"")</f>
        <v/>
      </c>
      <c r="O80" s="2" t="str">
        <f ca="1">IFERROR(VLOOKUP(SortedTimeline[经过排序的排名],ProjectTimelineData[],4,0),"")</f>
        <v/>
      </c>
      <c r="P80" s="2" t="str">
        <f ca="1">IFERROR(VLOOKUP(SortedTimeline[经过排序的排名],ProjectTimelineData[],5,0),"")</f>
        <v/>
      </c>
    </row>
    <row r="81" spans="5:16" x14ac:dyDescent="0.3">
      <c r="E81" s="3" t="str">
        <f ca="1">IFERROR(RANK(F81,ProjectTimelineData[排名])+SUMPRODUCT(--(F81=ProjectTimelineData[排名]),--(J81&lt;ProjectTimelineData[NUM])),"")</f>
        <v/>
      </c>
      <c r="F81" s="3" t="str">
        <f ca="1">IFERROR(RANK(ProjectTimelineData[[#This Row],[日期]],ProjectTimelineData[日期],1),"")</f>
        <v/>
      </c>
      <c r="G81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81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81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81" s="2" t="str">
        <f ca="1">IFERROR(IF(ISBLANK(INDEX(ProjectDetails[#Data],ROW(A76)+1,1)),"",IF($J80-1&lt;=-1,"",$J80-1)),"")</f>
        <v/>
      </c>
      <c r="M81" s="3" t="str">
        <f ca="1">IFERROR(ProjectTimelineData[NUM]+1,"")</f>
        <v/>
      </c>
      <c r="N81" s="6" t="str">
        <f ca="1">IFERROR(VLOOKUP(SortedTimeline[经过排序的排名],ProjectTimelineData[],3,0),"")</f>
        <v/>
      </c>
      <c r="O81" s="2" t="str">
        <f ca="1">IFERROR(VLOOKUP(SortedTimeline[经过排序的排名],ProjectTimelineData[],4,0),"")</f>
        <v/>
      </c>
      <c r="P81" s="2" t="str">
        <f ca="1">IFERROR(VLOOKUP(SortedTimeline[经过排序的排名],ProjectTimelineData[],5,0),"")</f>
        <v/>
      </c>
    </row>
    <row r="82" spans="5:16" x14ac:dyDescent="0.3">
      <c r="E82" s="3" t="str">
        <f ca="1">IFERROR(RANK(F82,ProjectTimelineData[排名])+SUMPRODUCT(--(F82=ProjectTimelineData[排名]),--(J82&lt;ProjectTimelineData[NUM])),"")</f>
        <v/>
      </c>
      <c r="F82" s="3" t="str">
        <f ca="1">IFERROR(RANK(ProjectTimelineData[[#This Row],[日期]],ProjectTimelineData[日期],1),"")</f>
        <v/>
      </c>
      <c r="G82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82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82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82" s="2" t="str">
        <f ca="1">IFERROR(IF(ISBLANK(INDEX(ProjectDetails[#Data],ROW(A77)+1,1)),"",IF($J81-1&lt;=-1,"",$J81-1)),"")</f>
        <v/>
      </c>
      <c r="M82" s="3" t="str">
        <f ca="1">IFERROR(ProjectTimelineData[NUM]+1,"")</f>
        <v/>
      </c>
      <c r="N82" s="6" t="str">
        <f ca="1">IFERROR(VLOOKUP(SortedTimeline[经过排序的排名],ProjectTimelineData[],3,0),"")</f>
        <v/>
      </c>
      <c r="O82" s="2" t="str">
        <f ca="1">IFERROR(VLOOKUP(SortedTimeline[经过排序的排名],ProjectTimelineData[],4,0),"")</f>
        <v/>
      </c>
      <c r="P82" s="2" t="str">
        <f ca="1">IFERROR(VLOOKUP(SortedTimeline[经过排序的排名],ProjectTimelineData[],5,0),"")</f>
        <v/>
      </c>
    </row>
    <row r="83" spans="5:16" x14ac:dyDescent="0.3">
      <c r="E83" s="3" t="str">
        <f ca="1">IFERROR(RANK(F83,ProjectTimelineData[排名])+SUMPRODUCT(--(F83=ProjectTimelineData[排名]),--(J83&lt;ProjectTimelineData[NUM])),"")</f>
        <v/>
      </c>
      <c r="F83" s="3" t="str">
        <f ca="1">IFERROR(RANK(ProjectTimelineData[[#This Row],[日期]],ProjectTimelineData[日期],1),"")</f>
        <v/>
      </c>
      <c r="G83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83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83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83" s="2" t="str">
        <f ca="1">IFERROR(IF(ISBLANK(INDEX(ProjectDetails[#Data],ROW(A78)+1,1)),"",IF($J82-1&lt;=-1,"",$J82-1)),"")</f>
        <v/>
      </c>
      <c r="M83" s="3" t="str">
        <f ca="1">IFERROR(ProjectTimelineData[NUM]+1,"")</f>
        <v/>
      </c>
      <c r="N83" s="6" t="str">
        <f ca="1">IFERROR(VLOOKUP(SortedTimeline[经过排序的排名],ProjectTimelineData[],3,0),"")</f>
        <v/>
      </c>
      <c r="O83" s="2" t="str">
        <f ca="1">IFERROR(VLOOKUP(SortedTimeline[经过排序的排名],ProjectTimelineData[],4,0),"")</f>
        <v/>
      </c>
      <c r="P83" s="2" t="str">
        <f ca="1">IFERROR(VLOOKUP(SortedTimeline[经过排序的排名],ProjectTimelineData[],5,0),"")</f>
        <v/>
      </c>
    </row>
    <row r="84" spans="5:16" x14ac:dyDescent="0.3">
      <c r="E84" s="3" t="str">
        <f ca="1">IFERROR(RANK(F84,ProjectTimelineData[排名])+SUMPRODUCT(--(F84=ProjectTimelineData[排名]),--(J84&lt;ProjectTimelineData[NUM])),"")</f>
        <v/>
      </c>
      <c r="F84" s="3" t="str">
        <f ca="1">IFERROR(RANK(ProjectTimelineData[[#This Row],[日期]],ProjectTimelineData[日期],1),"")</f>
        <v/>
      </c>
      <c r="G84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84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84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84" s="2" t="str">
        <f ca="1">IFERROR(IF(ISBLANK(INDEX(ProjectDetails[#Data],ROW(A79)+1,1)),"",IF($J83-1&lt;=-1,"",$J83-1)),"")</f>
        <v/>
      </c>
      <c r="M84" s="3" t="str">
        <f ca="1">IFERROR(ProjectTimelineData[NUM]+1,"")</f>
        <v/>
      </c>
      <c r="N84" s="6" t="str">
        <f ca="1">IFERROR(VLOOKUP(SortedTimeline[经过排序的排名],ProjectTimelineData[],3,0),"")</f>
        <v/>
      </c>
      <c r="O84" s="2" t="str">
        <f ca="1">IFERROR(VLOOKUP(SortedTimeline[经过排序的排名],ProjectTimelineData[],4,0),"")</f>
        <v/>
      </c>
      <c r="P84" s="2" t="str">
        <f ca="1">IFERROR(VLOOKUP(SortedTimeline[经过排序的排名],ProjectTimelineData[],5,0),"")</f>
        <v/>
      </c>
    </row>
    <row r="85" spans="5:16" x14ac:dyDescent="0.3">
      <c r="E85" s="3" t="str">
        <f ca="1">IFERROR(RANK(F85,ProjectTimelineData[排名])+SUMPRODUCT(--(F85=ProjectTimelineData[排名]),--(J85&lt;ProjectTimelineData[NUM])),"")</f>
        <v/>
      </c>
      <c r="F85" s="3" t="str">
        <f ca="1">IFERROR(RANK(ProjectTimelineData[[#This Row],[日期]],ProjectTimelineData[日期],1),"")</f>
        <v/>
      </c>
      <c r="G85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85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85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85" s="2" t="str">
        <f ca="1">IFERROR(IF(ISBLANK(INDEX(ProjectDetails[#Data],ROW(A80)+1,1)),"",IF($J84-1&lt;=-1,"",$J84-1)),"")</f>
        <v/>
      </c>
      <c r="M85" s="3" t="str">
        <f ca="1">IFERROR(ProjectTimelineData[NUM]+1,"")</f>
        <v/>
      </c>
      <c r="N85" s="6" t="str">
        <f ca="1">IFERROR(VLOOKUP(SortedTimeline[经过排序的排名],ProjectTimelineData[],3,0),"")</f>
        <v/>
      </c>
      <c r="O85" s="2" t="str">
        <f ca="1">IFERROR(VLOOKUP(SortedTimeline[经过排序的排名],ProjectTimelineData[],4,0),"")</f>
        <v/>
      </c>
      <c r="P85" s="2" t="str">
        <f ca="1">IFERROR(VLOOKUP(SortedTimeline[经过排序的排名],ProjectTimelineData[],5,0),"")</f>
        <v/>
      </c>
    </row>
    <row r="86" spans="5:16" x14ac:dyDescent="0.3">
      <c r="E86" s="3" t="str">
        <f ca="1">IFERROR(RANK(F86,ProjectTimelineData[排名])+SUMPRODUCT(--(F86=ProjectTimelineData[排名]),--(J86&lt;ProjectTimelineData[NUM])),"")</f>
        <v/>
      </c>
      <c r="F86" s="3" t="str">
        <f ca="1">IFERROR(RANK(ProjectTimelineData[[#This Row],[日期]],ProjectTimelineData[日期],1),"")</f>
        <v/>
      </c>
      <c r="G86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8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86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86" s="2" t="str">
        <f ca="1">IFERROR(IF(ISBLANK(INDEX(ProjectDetails[#Data],ROW(A81)+1,1)),"",IF($J85-1&lt;=-1,"",$J85-1)),"")</f>
        <v/>
      </c>
      <c r="M86" s="3" t="str">
        <f ca="1">IFERROR(ProjectTimelineData[NUM]+1,"")</f>
        <v/>
      </c>
      <c r="N86" s="6" t="str">
        <f ca="1">IFERROR(VLOOKUP(SortedTimeline[经过排序的排名],ProjectTimelineData[],3,0),"")</f>
        <v/>
      </c>
      <c r="O86" s="2" t="str">
        <f ca="1">IFERROR(VLOOKUP(SortedTimeline[经过排序的排名],ProjectTimelineData[],4,0),"")</f>
        <v/>
      </c>
      <c r="P86" s="2" t="str">
        <f ca="1">IFERROR(VLOOKUP(SortedTimeline[经过排序的排名],ProjectTimelineData[],5,0),"")</f>
        <v/>
      </c>
    </row>
    <row r="87" spans="5:16" x14ac:dyDescent="0.3">
      <c r="E87" s="3" t="str">
        <f ca="1">IFERROR(RANK(F87,ProjectTimelineData[排名])+SUMPRODUCT(--(F87=ProjectTimelineData[排名]),--(J87&lt;ProjectTimelineData[NUM])),"")</f>
        <v/>
      </c>
      <c r="F87" s="3" t="str">
        <f ca="1">IFERROR(RANK(ProjectTimelineData[[#This Row],[日期]],ProjectTimelineData[日期],1),"")</f>
        <v/>
      </c>
      <c r="G87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8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87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87" s="2" t="str">
        <f ca="1">IFERROR(IF(ISBLANK(INDEX(ProjectDetails[#Data],ROW(A82)+1,1)),"",IF($J86-1&lt;=-1,"",$J86-1)),"")</f>
        <v/>
      </c>
      <c r="M87" s="3" t="str">
        <f ca="1">IFERROR(ProjectTimelineData[NUM]+1,"")</f>
        <v/>
      </c>
      <c r="N87" s="6" t="str">
        <f ca="1">IFERROR(VLOOKUP(SortedTimeline[经过排序的排名],ProjectTimelineData[],3,0),"")</f>
        <v/>
      </c>
      <c r="O87" s="2" t="str">
        <f ca="1">IFERROR(VLOOKUP(SortedTimeline[经过排序的排名],ProjectTimelineData[],4,0),"")</f>
        <v/>
      </c>
      <c r="P87" s="2" t="str">
        <f ca="1">IFERROR(VLOOKUP(SortedTimeline[经过排序的排名],ProjectTimelineData[],5,0),"")</f>
        <v/>
      </c>
    </row>
    <row r="88" spans="5:16" x14ac:dyDescent="0.3">
      <c r="E88" s="3" t="str">
        <f ca="1">IFERROR(RANK(F88,ProjectTimelineData[排名])+SUMPRODUCT(--(F88=ProjectTimelineData[排名]),--(J88&lt;ProjectTimelineData[NUM])),"")</f>
        <v/>
      </c>
      <c r="F88" s="3" t="str">
        <f ca="1">IFERROR(RANK(ProjectTimelineData[[#This Row],[日期]],ProjectTimelineData[日期],1),"")</f>
        <v/>
      </c>
      <c r="G88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8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88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88" s="2" t="str">
        <f ca="1">IFERROR(IF(ISBLANK(INDEX(ProjectDetails[#Data],ROW(A83)+1,1)),"",IF($J87-1&lt;=-1,"",$J87-1)),"")</f>
        <v/>
      </c>
      <c r="M88" s="3" t="str">
        <f ca="1">IFERROR(ProjectTimelineData[NUM]+1,"")</f>
        <v/>
      </c>
      <c r="N88" s="6" t="str">
        <f ca="1">IFERROR(VLOOKUP(SortedTimeline[经过排序的排名],ProjectTimelineData[],3,0),"")</f>
        <v/>
      </c>
      <c r="O88" s="2" t="str">
        <f ca="1">IFERROR(VLOOKUP(SortedTimeline[经过排序的排名],ProjectTimelineData[],4,0),"")</f>
        <v/>
      </c>
      <c r="P88" s="2" t="str">
        <f ca="1">IFERROR(VLOOKUP(SortedTimeline[经过排序的排名],ProjectTimelineData[],5,0),"")</f>
        <v/>
      </c>
    </row>
    <row r="89" spans="5:16" x14ac:dyDescent="0.3">
      <c r="E89" s="3" t="str">
        <f ca="1">IFERROR(RANK(F89,ProjectTimelineData[排名])+SUMPRODUCT(--(F89=ProjectTimelineData[排名]),--(J89&lt;ProjectTimelineData[NUM])),"")</f>
        <v/>
      </c>
      <c r="F89" s="3" t="str">
        <f ca="1">IFERROR(RANK(ProjectTimelineData[[#This Row],[日期]],ProjectTimelineData[日期],1),"")</f>
        <v/>
      </c>
      <c r="G89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8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89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89" s="2" t="str">
        <f ca="1">IFERROR(IF(ISBLANK(INDEX(ProjectDetails[#Data],ROW(A84)+1,1)),"",IF($J88-1&lt;=-1,"",$J88-1)),"")</f>
        <v/>
      </c>
      <c r="M89" s="3" t="str">
        <f ca="1">IFERROR(ProjectTimelineData[NUM]+1,"")</f>
        <v/>
      </c>
      <c r="N89" s="6" t="str">
        <f ca="1">IFERROR(VLOOKUP(SortedTimeline[经过排序的排名],ProjectTimelineData[],3,0),"")</f>
        <v/>
      </c>
      <c r="O89" s="2" t="str">
        <f ca="1">IFERROR(VLOOKUP(SortedTimeline[经过排序的排名],ProjectTimelineData[],4,0),"")</f>
        <v/>
      </c>
      <c r="P89" s="2" t="str">
        <f ca="1">IFERROR(VLOOKUP(SortedTimeline[经过排序的排名],ProjectTimelineData[],5,0),"")</f>
        <v/>
      </c>
    </row>
    <row r="90" spans="5:16" x14ac:dyDescent="0.3">
      <c r="E90" s="3" t="str">
        <f ca="1">IFERROR(RANK(F90,ProjectTimelineData[排名])+SUMPRODUCT(--(F90=ProjectTimelineData[排名]),--(J90&lt;ProjectTimelineData[NUM])),"")</f>
        <v/>
      </c>
      <c r="F90" s="3" t="str">
        <f ca="1">IFERROR(RANK(ProjectTimelineData[[#This Row],[日期]],ProjectTimelineData[日期],1),"")</f>
        <v/>
      </c>
      <c r="G90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90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90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90" s="2" t="str">
        <f ca="1">IFERROR(IF(ISBLANK(INDEX(ProjectDetails[#Data],ROW(A85)+1,1)),"",IF($J89-1&lt;=-1,"",$J89-1)),"")</f>
        <v/>
      </c>
      <c r="M90" s="3" t="str">
        <f ca="1">IFERROR(ProjectTimelineData[NUM]+1,"")</f>
        <v/>
      </c>
      <c r="N90" s="6" t="str">
        <f ca="1">IFERROR(VLOOKUP(SortedTimeline[经过排序的排名],ProjectTimelineData[],3,0),"")</f>
        <v/>
      </c>
      <c r="O90" s="2" t="str">
        <f ca="1">IFERROR(VLOOKUP(SortedTimeline[经过排序的排名],ProjectTimelineData[],4,0),"")</f>
        <v/>
      </c>
      <c r="P90" s="2" t="str">
        <f ca="1">IFERROR(VLOOKUP(SortedTimeline[经过排序的排名],ProjectTimelineData[],5,0),"")</f>
        <v/>
      </c>
    </row>
    <row r="91" spans="5:16" x14ac:dyDescent="0.3">
      <c r="E91" s="3" t="str">
        <f ca="1">IFERROR(RANK(F91,ProjectTimelineData[排名])+SUMPRODUCT(--(F91=ProjectTimelineData[排名]),--(J91&lt;ProjectTimelineData[NUM])),"")</f>
        <v/>
      </c>
      <c r="F91" s="3" t="str">
        <f ca="1">IFERROR(RANK(ProjectTimelineData[[#This Row],[日期]],ProjectTimelineData[日期],1),"")</f>
        <v/>
      </c>
      <c r="G91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91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91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91" s="2" t="str">
        <f ca="1">IFERROR(IF(ISBLANK(INDEX(ProjectDetails[#Data],ROW(A86)+1,1)),"",IF($J90-1&lt;=-1,"",$J90-1)),"")</f>
        <v/>
      </c>
      <c r="M91" s="3" t="str">
        <f ca="1">IFERROR(ProjectTimelineData[NUM]+1,"")</f>
        <v/>
      </c>
      <c r="N91" s="6" t="str">
        <f ca="1">IFERROR(VLOOKUP(SortedTimeline[经过排序的排名],ProjectTimelineData[],3,0),"")</f>
        <v/>
      </c>
      <c r="O91" s="2" t="str">
        <f ca="1">IFERROR(VLOOKUP(SortedTimeline[经过排序的排名],ProjectTimelineData[],4,0),"")</f>
        <v/>
      </c>
      <c r="P91" s="2" t="str">
        <f ca="1">IFERROR(VLOOKUP(SortedTimeline[经过排序的排名],ProjectTimelineData[],5,0),"")</f>
        <v/>
      </c>
    </row>
    <row r="92" spans="5:16" x14ac:dyDescent="0.3">
      <c r="E92" s="3" t="str">
        <f ca="1">IFERROR(RANK(F92,ProjectTimelineData[排名])+SUMPRODUCT(--(F92=ProjectTimelineData[排名]),--(J92&lt;ProjectTimelineData[NUM])),"")</f>
        <v/>
      </c>
      <c r="F92" s="3" t="str">
        <f ca="1">IFERROR(RANK(ProjectTimelineData[[#This Row],[日期]],ProjectTimelineData[日期],1),"")</f>
        <v/>
      </c>
      <c r="G92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92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92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92" s="2" t="str">
        <f ca="1">IFERROR(IF(ISBLANK(INDEX(ProjectDetails[#Data],ROW(A87)+1,1)),"",IF($J91-1&lt;=-1,"",$J91-1)),"")</f>
        <v/>
      </c>
      <c r="M92" s="3" t="str">
        <f ca="1">IFERROR(ProjectTimelineData[NUM]+1,"")</f>
        <v/>
      </c>
      <c r="N92" s="6" t="str">
        <f ca="1">IFERROR(VLOOKUP(SortedTimeline[经过排序的排名],ProjectTimelineData[],3,0),"")</f>
        <v/>
      </c>
      <c r="O92" s="2" t="str">
        <f ca="1">IFERROR(VLOOKUP(SortedTimeline[经过排序的排名],ProjectTimelineData[],4,0),"")</f>
        <v/>
      </c>
      <c r="P92" s="2" t="str">
        <f ca="1">IFERROR(VLOOKUP(SortedTimeline[经过排序的排名],ProjectTimelineData[],5,0),"")</f>
        <v/>
      </c>
    </row>
    <row r="93" spans="5:16" x14ac:dyDescent="0.3">
      <c r="E93" s="3" t="str">
        <f ca="1">IFERROR(RANK(F93,ProjectTimelineData[排名])+SUMPRODUCT(--(F93=ProjectTimelineData[排名]),--(J93&lt;ProjectTimelineData[NUM])),"")</f>
        <v/>
      </c>
      <c r="F93" s="3" t="str">
        <f ca="1">IFERROR(RANK(ProjectTimelineData[[#This Row],[日期]],ProjectTimelineData[日期],1),"")</f>
        <v/>
      </c>
      <c r="G93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93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93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93" s="2" t="str">
        <f ca="1">IFERROR(IF(ISBLANK(INDEX(ProjectDetails[#Data],ROW(A88)+1,1)),"",IF($J92-1&lt;=-1,"",$J92-1)),"")</f>
        <v/>
      </c>
      <c r="M93" s="3" t="str">
        <f ca="1">IFERROR(ProjectTimelineData[NUM]+1,"")</f>
        <v/>
      </c>
      <c r="N93" s="6" t="str">
        <f ca="1">IFERROR(VLOOKUP(SortedTimeline[经过排序的排名],ProjectTimelineData[],3,0),"")</f>
        <v/>
      </c>
      <c r="O93" s="2" t="str">
        <f ca="1">IFERROR(VLOOKUP(SortedTimeline[经过排序的排名],ProjectTimelineData[],4,0),"")</f>
        <v/>
      </c>
      <c r="P93" s="2" t="str">
        <f ca="1">IFERROR(VLOOKUP(SortedTimeline[经过排序的排名],ProjectTimelineData[],5,0),"")</f>
        <v/>
      </c>
    </row>
    <row r="94" spans="5:16" x14ac:dyDescent="0.3">
      <c r="E94" s="3" t="str">
        <f ca="1">IFERROR(RANK(F94,ProjectTimelineData[排名])+SUMPRODUCT(--(F94=ProjectTimelineData[排名]),--(J94&lt;ProjectTimelineData[NUM])),"")</f>
        <v/>
      </c>
      <c r="F94" s="3" t="str">
        <f ca="1">IFERROR(RANK(ProjectTimelineData[[#This Row],[日期]],ProjectTimelineData[日期],1),"")</f>
        <v/>
      </c>
      <c r="G94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94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94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94" s="2" t="str">
        <f ca="1">IFERROR(IF(ISBLANK(INDEX(ProjectDetails[#Data],ROW(A89)+1,1)),"",IF($J93-1&lt;=-1,"",$J93-1)),"")</f>
        <v/>
      </c>
      <c r="M94" s="3" t="str">
        <f ca="1">IFERROR(ProjectTimelineData[NUM]+1,"")</f>
        <v/>
      </c>
      <c r="N94" s="6" t="str">
        <f ca="1">IFERROR(VLOOKUP(SortedTimeline[经过排序的排名],ProjectTimelineData[],3,0),"")</f>
        <v/>
      </c>
      <c r="O94" s="2" t="str">
        <f ca="1">IFERROR(VLOOKUP(SortedTimeline[经过排序的排名],ProjectTimelineData[],4,0),"")</f>
        <v/>
      </c>
      <c r="P94" s="2" t="str">
        <f ca="1">IFERROR(VLOOKUP(SortedTimeline[经过排序的排名],ProjectTimelineData[],5,0),"")</f>
        <v/>
      </c>
    </row>
    <row r="95" spans="5:16" x14ac:dyDescent="0.3">
      <c r="E95" s="3" t="str">
        <f ca="1">IFERROR(RANK(F95,ProjectTimelineData[排名])+SUMPRODUCT(--(F95=ProjectTimelineData[排名]),--(J95&lt;ProjectTimelineData[NUM])),"")</f>
        <v/>
      </c>
      <c r="F95" s="3" t="str">
        <f ca="1">IFERROR(RANK(ProjectTimelineData[[#This Row],[日期]],ProjectTimelineData[日期],1),"")</f>
        <v/>
      </c>
      <c r="G95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95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95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95" s="2" t="str">
        <f ca="1">IFERROR(IF(ISBLANK(INDEX(ProjectDetails[#Data],ROW(A90)+1,1)),"",IF($J94-1&lt;=-1,"",$J94-1)),"")</f>
        <v/>
      </c>
      <c r="M95" s="3" t="str">
        <f ca="1">IFERROR(ProjectTimelineData[NUM]+1,"")</f>
        <v/>
      </c>
      <c r="N95" s="6" t="str">
        <f ca="1">IFERROR(VLOOKUP(SortedTimeline[经过排序的排名],ProjectTimelineData[],3,0),"")</f>
        <v/>
      </c>
      <c r="O95" s="2" t="str">
        <f ca="1">IFERROR(VLOOKUP(SortedTimeline[经过排序的排名],ProjectTimelineData[],4,0),"")</f>
        <v/>
      </c>
      <c r="P95" s="2" t="str">
        <f ca="1">IFERROR(VLOOKUP(SortedTimeline[经过排序的排名],ProjectTimelineData[],5,0),"")</f>
        <v/>
      </c>
    </row>
    <row r="96" spans="5:16" x14ac:dyDescent="0.3">
      <c r="E96" s="3" t="str">
        <f ca="1">IFERROR(RANK(F96,ProjectTimelineData[排名])+SUMPRODUCT(--(F96=ProjectTimelineData[排名]),--(J96&lt;ProjectTimelineData[NUM])),"")</f>
        <v/>
      </c>
      <c r="F96" s="3" t="str">
        <f ca="1">IFERROR(RANK(ProjectTimelineData[[#This Row],[日期]],ProjectTimelineData[日期],1),"")</f>
        <v/>
      </c>
      <c r="G96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9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96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96" s="2" t="str">
        <f ca="1">IFERROR(IF(ISBLANK(INDEX(ProjectDetails[#Data],ROW(A91)+1,1)),"",IF($J95-1&lt;=-1,"",$J95-1)),"")</f>
        <v/>
      </c>
      <c r="M96" s="3" t="str">
        <f ca="1">IFERROR(ProjectTimelineData[NUM]+1,"")</f>
        <v/>
      </c>
      <c r="N96" s="6" t="str">
        <f ca="1">IFERROR(VLOOKUP(SortedTimeline[经过排序的排名],ProjectTimelineData[],3,0),"")</f>
        <v/>
      </c>
      <c r="O96" s="2" t="str">
        <f ca="1">IFERROR(VLOOKUP(SortedTimeline[经过排序的排名],ProjectTimelineData[],4,0),"")</f>
        <v/>
      </c>
      <c r="P96" s="2" t="str">
        <f ca="1">IFERROR(VLOOKUP(SortedTimeline[经过排序的排名],ProjectTimelineData[],5,0),"")</f>
        <v/>
      </c>
    </row>
    <row r="97" spans="5:16" x14ac:dyDescent="0.3">
      <c r="E97" s="3" t="str">
        <f ca="1">IFERROR(RANK(F97,ProjectTimelineData[排名])+SUMPRODUCT(--(F97=ProjectTimelineData[排名]),--(J97&lt;ProjectTimelineData[NUM])),"")</f>
        <v/>
      </c>
      <c r="F97" s="3" t="str">
        <f ca="1">IFERROR(RANK(ProjectTimelineData[[#This Row],[日期]],ProjectTimelineData[日期],1),"")</f>
        <v/>
      </c>
      <c r="G97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9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97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97" s="2" t="str">
        <f ca="1">IFERROR(IF(ISBLANK(INDEX(ProjectDetails[#Data],ROW(A92)+1,1)),"",IF($J96-1&lt;=-1,"",$J96-1)),"")</f>
        <v/>
      </c>
      <c r="M97" s="3" t="str">
        <f ca="1">IFERROR(ProjectTimelineData[NUM]+1,"")</f>
        <v/>
      </c>
      <c r="N97" s="6" t="str">
        <f ca="1">IFERROR(VLOOKUP(SortedTimeline[经过排序的排名],ProjectTimelineData[],3,0),"")</f>
        <v/>
      </c>
      <c r="O97" s="2" t="str">
        <f ca="1">IFERROR(VLOOKUP(SortedTimeline[经过排序的排名],ProjectTimelineData[],4,0),"")</f>
        <v/>
      </c>
      <c r="P97" s="2" t="str">
        <f ca="1">IFERROR(VLOOKUP(SortedTimeline[经过排序的排名],ProjectTimelineData[],5,0),"")</f>
        <v/>
      </c>
    </row>
    <row r="98" spans="5:16" x14ac:dyDescent="0.3">
      <c r="E98" s="3" t="str">
        <f ca="1">IFERROR(RANK(F98,ProjectTimelineData[排名])+SUMPRODUCT(--(F98=ProjectTimelineData[排名]),--(J98&lt;ProjectTimelineData[NUM])),"")</f>
        <v/>
      </c>
      <c r="F98" s="3" t="str">
        <f ca="1">IFERROR(RANK(ProjectTimelineData[[#This Row],[日期]],ProjectTimelineData[日期],1),"")</f>
        <v/>
      </c>
      <c r="G98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9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98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98" s="2" t="str">
        <f ca="1">IFERROR(IF(ISBLANK(INDEX(ProjectDetails[#Data],ROW(A93)+1,1)),"",IF($J97-1&lt;=-1,"",$J97-1)),"")</f>
        <v/>
      </c>
      <c r="M98" s="3" t="str">
        <f ca="1">IFERROR(ProjectTimelineData[NUM]+1,"")</f>
        <v/>
      </c>
      <c r="N98" s="6" t="str">
        <f ca="1">IFERROR(VLOOKUP(SortedTimeline[经过排序的排名],ProjectTimelineData[],3,0),"")</f>
        <v/>
      </c>
      <c r="O98" s="2" t="str">
        <f ca="1">IFERROR(VLOOKUP(SortedTimeline[经过排序的排名],ProjectTimelineData[],4,0),"")</f>
        <v/>
      </c>
      <c r="P98" s="2" t="str">
        <f ca="1">IFERROR(VLOOKUP(SortedTimeline[经过排序的排名],ProjectTimelineData[],5,0),"")</f>
        <v/>
      </c>
    </row>
    <row r="99" spans="5:16" x14ac:dyDescent="0.3">
      <c r="E99" s="3" t="str">
        <f ca="1">IFERROR(RANK(F99,ProjectTimelineData[排名])+SUMPRODUCT(--(F99=ProjectTimelineData[排名]),--(J99&lt;ProjectTimelineData[NUM])),"")</f>
        <v/>
      </c>
      <c r="F99" s="3" t="str">
        <f ca="1">IFERROR(RANK(ProjectTimelineData[[#This Row],[日期]],ProjectTimelineData[日期],1),"")</f>
        <v/>
      </c>
      <c r="G99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9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99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99" s="2" t="str">
        <f ca="1">IFERROR(IF(ISBLANK(INDEX(ProjectDetails[#Data],ROW(A94)+1,1)),"",IF($J98-1&lt;=-1,"",$J98-1)),"")</f>
        <v/>
      </c>
      <c r="M99" s="3" t="str">
        <f ca="1">IFERROR(ProjectTimelineData[NUM]+1,"")</f>
        <v/>
      </c>
      <c r="N99" s="6" t="str">
        <f ca="1">IFERROR(VLOOKUP(SortedTimeline[经过排序的排名],ProjectTimelineData[],3,0),"")</f>
        <v/>
      </c>
      <c r="O99" s="2" t="str">
        <f ca="1">IFERROR(VLOOKUP(SortedTimeline[经过排序的排名],ProjectTimelineData[],4,0),"")</f>
        <v/>
      </c>
      <c r="P99" s="2" t="str">
        <f ca="1">IFERROR(VLOOKUP(SortedTimeline[经过排序的排名],ProjectTimelineData[],5,0),"")</f>
        <v/>
      </c>
    </row>
    <row r="100" spans="5:16" x14ac:dyDescent="0.3">
      <c r="E100" s="3" t="str">
        <f ca="1">IFERROR(RANK(F100,ProjectTimelineData[排名])+SUMPRODUCT(--(F100=ProjectTimelineData[排名]),--(J100&lt;ProjectTimelineData[NUM])),"")</f>
        <v/>
      </c>
      <c r="F100" s="3" t="str">
        <f ca="1">IFERROR(RANK(ProjectTimelineData[[#This Row],[日期]],ProjectTimelineData[日期],1),"")</f>
        <v/>
      </c>
      <c r="G100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00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00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00" s="2" t="str">
        <f ca="1">IFERROR(IF(ISBLANK(INDEX(ProjectDetails[#Data],ROW(A95)+1,1)),"",IF($J99-1&lt;=-1,"",$J99-1)),"")</f>
        <v/>
      </c>
      <c r="M100" s="3" t="str">
        <f ca="1">IFERROR(ProjectTimelineData[NUM]+1,"")</f>
        <v/>
      </c>
      <c r="N100" s="6" t="str">
        <f ca="1">IFERROR(VLOOKUP(SortedTimeline[经过排序的排名],ProjectTimelineData[],3,0),"")</f>
        <v/>
      </c>
      <c r="O100" s="2" t="str">
        <f ca="1">IFERROR(VLOOKUP(SortedTimeline[经过排序的排名],ProjectTimelineData[],4,0),"")</f>
        <v/>
      </c>
      <c r="P100" s="2" t="str">
        <f ca="1">IFERROR(VLOOKUP(SortedTimeline[经过排序的排名],ProjectTimelineData[],5,0),"")</f>
        <v/>
      </c>
    </row>
    <row r="101" spans="5:16" x14ac:dyDescent="0.3">
      <c r="E101" s="3" t="str">
        <f ca="1">IFERROR(RANK(F101,ProjectTimelineData[排名])+SUMPRODUCT(--(F101=ProjectTimelineData[排名]),--(J101&lt;ProjectTimelineData[NUM])),"")</f>
        <v/>
      </c>
      <c r="F101" s="3" t="str">
        <f ca="1">IFERROR(RANK(ProjectTimelineData[[#This Row],[日期]],ProjectTimelineData[日期],1),"")</f>
        <v/>
      </c>
      <c r="G101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01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01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01" s="2" t="str">
        <f ca="1">IFERROR(IF(ISBLANK(INDEX(ProjectDetails[#Data],ROW(A96)+1,1)),"",IF($J100-1&lt;=-1,"",$J100-1)),"")</f>
        <v/>
      </c>
      <c r="M101" s="3" t="str">
        <f ca="1">IFERROR(ProjectTimelineData[NUM]+1,"")</f>
        <v/>
      </c>
      <c r="N101" s="6" t="str">
        <f ca="1">IFERROR(VLOOKUP(SortedTimeline[经过排序的排名],ProjectTimelineData[],3,0),"")</f>
        <v/>
      </c>
      <c r="O101" s="2" t="str">
        <f ca="1">IFERROR(VLOOKUP(SortedTimeline[经过排序的排名],ProjectTimelineData[],4,0),"")</f>
        <v/>
      </c>
      <c r="P101" s="2" t="str">
        <f ca="1">IFERROR(VLOOKUP(SortedTimeline[经过排序的排名],ProjectTimelineData[],5,0),"")</f>
        <v/>
      </c>
    </row>
    <row r="102" spans="5:16" x14ac:dyDescent="0.3">
      <c r="E102" s="3" t="str">
        <f ca="1">IFERROR(RANK(F102,ProjectTimelineData[排名])+SUMPRODUCT(--(F102=ProjectTimelineData[排名]),--(J102&lt;ProjectTimelineData[NUM])),"")</f>
        <v/>
      </c>
      <c r="F102" s="3" t="str">
        <f ca="1">IFERROR(RANK(ProjectTimelineData[[#This Row],[日期]],ProjectTimelineData[日期],1),"")</f>
        <v/>
      </c>
      <c r="G102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02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02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02" s="2" t="str">
        <f ca="1">IFERROR(IF(ISBLANK(INDEX(ProjectDetails[#Data],ROW(A97)+1,1)),"",IF($J101-1&lt;=-1,"",$J101-1)),"")</f>
        <v/>
      </c>
      <c r="M102" s="3" t="str">
        <f ca="1">IFERROR(ProjectTimelineData[NUM]+1,"")</f>
        <v/>
      </c>
      <c r="N102" s="6" t="str">
        <f ca="1">IFERROR(VLOOKUP(SortedTimeline[经过排序的排名],ProjectTimelineData[],3,0),"")</f>
        <v/>
      </c>
      <c r="O102" s="2" t="str">
        <f ca="1">IFERROR(VLOOKUP(SortedTimeline[经过排序的排名],ProjectTimelineData[],4,0),"")</f>
        <v/>
      </c>
      <c r="P102" s="2" t="str">
        <f ca="1">IFERROR(VLOOKUP(SortedTimeline[经过排序的排名],ProjectTimelineData[],5,0),"")</f>
        <v/>
      </c>
    </row>
    <row r="103" spans="5:16" x14ac:dyDescent="0.3">
      <c r="E103" s="3" t="str">
        <f ca="1">IFERROR(RANK(F103,ProjectTimelineData[排名])+SUMPRODUCT(--(F103=ProjectTimelineData[排名]),--(J103&lt;ProjectTimelineData[NUM])),"")</f>
        <v/>
      </c>
      <c r="F103" s="3" t="str">
        <f ca="1">IFERROR(RANK(ProjectTimelineData[[#This Row],[日期]],ProjectTimelineData[日期],1),"")</f>
        <v/>
      </c>
      <c r="G103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03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03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03" s="2" t="str">
        <f ca="1">IFERROR(IF(ISBLANK(INDEX(ProjectDetails[#Data],ROW(A98)+1,1)),"",IF($J102-1&lt;=-1,"",$J102-1)),"")</f>
        <v/>
      </c>
      <c r="M103" s="3" t="str">
        <f ca="1">IFERROR(ProjectTimelineData[NUM]+1,"")</f>
        <v/>
      </c>
      <c r="N103" s="6" t="str">
        <f ca="1">IFERROR(VLOOKUP(SortedTimeline[经过排序的排名],ProjectTimelineData[],3,0),"")</f>
        <v/>
      </c>
      <c r="O103" s="2" t="str">
        <f ca="1">IFERROR(VLOOKUP(SortedTimeline[经过排序的排名],ProjectTimelineData[],4,0),"")</f>
        <v/>
      </c>
      <c r="P103" s="2" t="str">
        <f ca="1">IFERROR(VLOOKUP(SortedTimeline[经过排序的排名],ProjectTimelineData[],5,0),"")</f>
        <v/>
      </c>
    </row>
    <row r="104" spans="5:16" x14ac:dyDescent="0.3">
      <c r="E104" s="3" t="str">
        <f ca="1">IFERROR(RANK(F104,ProjectTimelineData[排名])+SUMPRODUCT(--(F104=ProjectTimelineData[排名]),--(J104&lt;ProjectTimelineData[NUM])),"")</f>
        <v/>
      </c>
      <c r="F104" s="3" t="str">
        <f ca="1">IFERROR(RANK(ProjectTimelineData[[#This Row],[日期]],ProjectTimelineData[日期],1),"")</f>
        <v/>
      </c>
      <c r="G104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04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04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04" s="2" t="str">
        <f ca="1">IFERROR(IF(ISBLANK(INDEX(ProjectDetails[#Data],ROW(A99)+1,1)),"",IF($J103-1&lt;=-1,"",$J103-1)),"")</f>
        <v/>
      </c>
      <c r="M104" s="3" t="str">
        <f ca="1">IFERROR(ProjectTimelineData[NUM]+1,"")</f>
        <v/>
      </c>
      <c r="N104" s="6" t="str">
        <f ca="1">IFERROR(VLOOKUP(SortedTimeline[经过排序的排名],ProjectTimelineData[],3,0),"")</f>
        <v/>
      </c>
      <c r="O104" s="2" t="str">
        <f ca="1">IFERROR(VLOOKUP(SortedTimeline[经过排序的排名],ProjectTimelineData[],4,0),"")</f>
        <v/>
      </c>
      <c r="P104" s="2" t="str">
        <f ca="1">IFERROR(VLOOKUP(SortedTimeline[经过排序的排名],ProjectTimelineData[],5,0),"")</f>
        <v/>
      </c>
    </row>
    <row r="105" spans="5:16" x14ac:dyDescent="0.3">
      <c r="E105" s="3" t="str">
        <f ca="1">IFERROR(RANK(F105,ProjectTimelineData[排名])+SUMPRODUCT(--(F105=ProjectTimelineData[排名]),--(J105&lt;ProjectTimelineData[NUM])),"")</f>
        <v/>
      </c>
      <c r="F105" s="3" t="str">
        <f ca="1">IFERROR(RANK(ProjectTimelineData[[#This Row],[日期]],ProjectTimelineData[日期],1),"")</f>
        <v/>
      </c>
      <c r="G105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05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05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05" s="2" t="str">
        <f ca="1">IFERROR(IF(ISBLANK(INDEX(ProjectDetails[#Data],ROW(A100)+1,1)),"",IF($J104-1&lt;=-1,"",$J104-1)),"")</f>
        <v/>
      </c>
      <c r="M105" s="3" t="str">
        <f ca="1">IFERROR(ProjectTimelineData[NUM]+1,"")</f>
        <v/>
      </c>
      <c r="N105" s="6" t="str">
        <f ca="1">IFERROR(VLOOKUP(SortedTimeline[经过排序的排名],ProjectTimelineData[],3,0),"")</f>
        <v/>
      </c>
      <c r="O105" s="2" t="str">
        <f ca="1">IFERROR(VLOOKUP(SortedTimeline[经过排序的排名],ProjectTimelineData[],4,0),"")</f>
        <v/>
      </c>
      <c r="P105" s="2" t="str">
        <f ca="1">IFERROR(VLOOKUP(SortedTimeline[经过排序的排名],ProjectTimelineData[],5,0),"")</f>
        <v/>
      </c>
    </row>
    <row r="106" spans="5:16" x14ac:dyDescent="0.3">
      <c r="E106" s="3" t="str">
        <f ca="1">IFERROR(RANK(F106,ProjectTimelineData[排名])+SUMPRODUCT(--(F106=ProjectTimelineData[排名]),--(J106&lt;ProjectTimelineData[NUM])),"")</f>
        <v/>
      </c>
      <c r="F106" s="3" t="str">
        <f ca="1">IFERROR(RANK(ProjectTimelineData[[#This Row],[日期]],ProjectTimelineData[日期],1),"")</f>
        <v/>
      </c>
      <c r="G106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0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06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06" s="2" t="str">
        <f ca="1">IFERROR(IF(ISBLANK(INDEX(ProjectDetails[#Data],ROW(A101)+1,1)),"",IF($J105-1&lt;=-1,"",$J105-1)),"")</f>
        <v/>
      </c>
      <c r="M106" s="3" t="str">
        <f ca="1">IFERROR(ProjectTimelineData[NUM]+1,"")</f>
        <v/>
      </c>
      <c r="N106" s="6" t="str">
        <f ca="1">IFERROR(VLOOKUP(SortedTimeline[经过排序的排名],ProjectTimelineData[],3,0),"")</f>
        <v/>
      </c>
      <c r="O106" s="2" t="str">
        <f ca="1">IFERROR(VLOOKUP(SortedTimeline[经过排序的排名],ProjectTimelineData[],4,0),"")</f>
        <v/>
      </c>
      <c r="P106" s="2" t="str">
        <f ca="1">IFERROR(VLOOKUP(SortedTimeline[经过排序的排名],ProjectTimelineData[],5,0),"")</f>
        <v/>
      </c>
    </row>
    <row r="107" spans="5:16" x14ac:dyDescent="0.3">
      <c r="E107" s="3" t="str">
        <f ca="1">IFERROR(RANK(F107,ProjectTimelineData[排名])+SUMPRODUCT(--(F107=ProjectTimelineData[排名]),--(J107&lt;ProjectTimelineData[NUM])),"")</f>
        <v/>
      </c>
      <c r="F107" s="3" t="str">
        <f ca="1">IFERROR(RANK(ProjectTimelineData[[#This Row],[日期]],ProjectTimelineData[日期],1),"")</f>
        <v/>
      </c>
      <c r="G107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0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07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07" s="2" t="str">
        <f ca="1">IFERROR(IF(ISBLANK(INDEX(ProjectDetails[#Data],ROW(A102)+1,1)),"",IF($J106-1&lt;=-1,"",$J106-1)),"")</f>
        <v/>
      </c>
      <c r="M107" s="3" t="str">
        <f ca="1">IFERROR(ProjectTimelineData[NUM]+1,"")</f>
        <v/>
      </c>
      <c r="N107" s="6" t="str">
        <f ca="1">IFERROR(VLOOKUP(SortedTimeline[经过排序的排名],ProjectTimelineData[],3,0),"")</f>
        <v/>
      </c>
      <c r="O107" s="2" t="str">
        <f ca="1">IFERROR(VLOOKUP(SortedTimeline[经过排序的排名],ProjectTimelineData[],4,0),"")</f>
        <v/>
      </c>
      <c r="P107" s="2" t="str">
        <f ca="1">IFERROR(VLOOKUP(SortedTimeline[经过排序的排名],ProjectTimelineData[],5,0),"")</f>
        <v/>
      </c>
    </row>
    <row r="108" spans="5:16" x14ac:dyDescent="0.3">
      <c r="E108" s="3" t="str">
        <f ca="1">IFERROR(RANK(F108,ProjectTimelineData[排名])+SUMPRODUCT(--(F108=ProjectTimelineData[排名]),--(J108&lt;ProjectTimelineData[NUM])),"")</f>
        <v/>
      </c>
      <c r="F108" s="3" t="str">
        <f ca="1">IFERROR(RANK(ProjectTimelineData[[#This Row],[日期]],ProjectTimelineData[日期],1),"")</f>
        <v/>
      </c>
      <c r="G108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0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08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08" s="2" t="str">
        <f ca="1">IFERROR(IF(ISBLANK(INDEX(ProjectDetails[#Data],ROW(A103)+1,1)),"",IF($J107-1&lt;=-1,"",$J107-1)),"")</f>
        <v/>
      </c>
      <c r="M108" s="3" t="str">
        <f ca="1">IFERROR(ProjectTimelineData[NUM]+1,"")</f>
        <v/>
      </c>
      <c r="N108" s="6" t="str">
        <f ca="1">IFERROR(VLOOKUP(SortedTimeline[经过排序的排名],ProjectTimelineData[],3,0),"")</f>
        <v/>
      </c>
      <c r="O108" s="2" t="str">
        <f ca="1">IFERROR(VLOOKUP(SortedTimeline[经过排序的排名],ProjectTimelineData[],4,0),"")</f>
        <v/>
      </c>
      <c r="P108" s="2" t="str">
        <f ca="1">IFERROR(VLOOKUP(SortedTimeline[经过排序的排名],ProjectTimelineData[],5,0),"")</f>
        <v/>
      </c>
    </row>
    <row r="109" spans="5:16" x14ac:dyDescent="0.3">
      <c r="E109" s="3" t="str">
        <f ca="1">IFERROR(RANK(F109,ProjectTimelineData[排名])+SUMPRODUCT(--(F109=ProjectTimelineData[排名]),--(J109&lt;ProjectTimelineData[NUM])),"")</f>
        <v/>
      </c>
      <c r="F109" s="3" t="str">
        <f ca="1">IFERROR(RANK(ProjectTimelineData[[#This Row],[日期]],ProjectTimelineData[日期],1),"")</f>
        <v/>
      </c>
      <c r="G109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0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09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09" s="2" t="str">
        <f ca="1">IFERROR(IF(ISBLANK(INDEX(ProjectDetails[#Data],ROW(A104)+1,1)),"",IF($J108-1&lt;=-1,"",$J108-1)),"")</f>
        <v/>
      </c>
      <c r="M109" s="3" t="str">
        <f ca="1">IFERROR(ProjectTimelineData[NUM]+1,"")</f>
        <v/>
      </c>
      <c r="N109" s="6" t="str">
        <f ca="1">IFERROR(VLOOKUP(SortedTimeline[经过排序的排名],ProjectTimelineData[],3,0),"")</f>
        <v/>
      </c>
      <c r="O109" s="2" t="str">
        <f ca="1">IFERROR(VLOOKUP(SortedTimeline[经过排序的排名],ProjectTimelineData[],4,0),"")</f>
        <v/>
      </c>
      <c r="P109" s="2" t="str">
        <f ca="1">IFERROR(VLOOKUP(SortedTimeline[经过排序的排名],ProjectTimelineData[],5,0),"")</f>
        <v/>
      </c>
    </row>
    <row r="110" spans="5:16" x14ac:dyDescent="0.3">
      <c r="E110" s="3" t="str">
        <f ca="1">IFERROR(RANK(F110,ProjectTimelineData[排名])+SUMPRODUCT(--(F110=ProjectTimelineData[排名]),--(J110&lt;ProjectTimelineData[NUM])),"")</f>
        <v/>
      </c>
      <c r="F110" s="3" t="str">
        <f ca="1">IFERROR(RANK(ProjectTimelineData[[#This Row],[日期]],ProjectTimelineData[日期],1),"")</f>
        <v/>
      </c>
      <c r="G110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10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10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10" s="2" t="str">
        <f ca="1">IFERROR(IF(ISBLANK(INDEX(ProjectDetails[#Data],ROW(A105)+1,1)),"",IF($J109-1&lt;=-1,"",$J109-1)),"")</f>
        <v/>
      </c>
      <c r="M110" s="3" t="str">
        <f ca="1">IFERROR(ProjectTimelineData[NUM]+1,"")</f>
        <v/>
      </c>
      <c r="N110" s="6" t="str">
        <f ca="1">IFERROR(VLOOKUP(SortedTimeline[经过排序的排名],ProjectTimelineData[],3,0),"")</f>
        <v/>
      </c>
      <c r="O110" s="2" t="str">
        <f ca="1">IFERROR(VLOOKUP(SortedTimeline[经过排序的排名],ProjectTimelineData[],4,0),"")</f>
        <v/>
      </c>
      <c r="P110" s="2" t="str">
        <f ca="1">IFERROR(VLOOKUP(SortedTimeline[经过排序的排名],ProjectTimelineData[],5,0),"")</f>
        <v/>
      </c>
    </row>
    <row r="111" spans="5:16" x14ac:dyDescent="0.3">
      <c r="E111" s="3" t="str">
        <f ca="1">IFERROR(RANK(F111,ProjectTimelineData[排名])+SUMPRODUCT(--(F111=ProjectTimelineData[排名]),--(J111&lt;ProjectTimelineData[NUM])),"")</f>
        <v/>
      </c>
      <c r="F111" s="3" t="str">
        <f ca="1">IFERROR(RANK(ProjectTimelineData[[#This Row],[日期]],ProjectTimelineData[日期],1),"")</f>
        <v/>
      </c>
      <c r="G111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11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11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11" s="2" t="str">
        <f ca="1">IFERROR(IF(ISBLANK(INDEX(ProjectDetails[#Data],ROW(A106)+1,1)),"",IF($J110-1&lt;=-1,"",$J110-1)),"")</f>
        <v/>
      </c>
      <c r="M111" s="3" t="str">
        <f ca="1">IFERROR(ProjectTimelineData[NUM]+1,"")</f>
        <v/>
      </c>
      <c r="N111" s="6" t="str">
        <f ca="1">IFERROR(VLOOKUP(SortedTimeline[经过排序的排名],ProjectTimelineData[],3,0),"")</f>
        <v/>
      </c>
      <c r="O111" s="2" t="str">
        <f ca="1">IFERROR(VLOOKUP(SortedTimeline[经过排序的排名],ProjectTimelineData[],4,0),"")</f>
        <v/>
      </c>
      <c r="P111" s="2" t="str">
        <f ca="1">IFERROR(VLOOKUP(SortedTimeline[经过排序的排名],ProjectTimelineData[],5,0),"")</f>
        <v/>
      </c>
    </row>
    <row r="112" spans="5:16" x14ac:dyDescent="0.3">
      <c r="E112" s="3" t="str">
        <f ca="1">IFERROR(RANK(F112,ProjectTimelineData[排名])+SUMPRODUCT(--(F112=ProjectTimelineData[排名]),--(J112&lt;ProjectTimelineData[NUM])),"")</f>
        <v/>
      </c>
      <c r="F112" s="3" t="str">
        <f ca="1">IFERROR(RANK(ProjectTimelineData[[#This Row],[日期]],ProjectTimelineData[日期],1),"")</f>
        <v/>
      </c>
      <c r="G112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12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12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12" s="2" t="str">
        <f ca="1">IFERROR(IF(ISBLANK(INDEX(ProjectDetails[#Data],ROW(A107)+1,1)),"",IF($J111-1&lt;=-1,"",$J111-1)),"")</f>
        <v/>
      </c>
      <c r="M112" s="3" t="str">
        <f ca="1">IFERROR(ProjectTimelineData[NUM]+1,"")</f>
        <v/>
      </c>
      <c r="N112" s="6" t="str">
        <f ca="1">IFERROR(VLOOKUP(SortedTimeline[经过排序的排名],ProjectTimelineData[],3,0),"")</f>
        <v/>
      </c>
      <c r="O112" s="2" t="str">
        <f ca="1">IFERROR(VLOOKUP(SortedTimeline[经过排序的排名],ProjectTimelineData[],4,0),"")</f>
        <v/>
      </c>
      <c r="P112" s="2" t="str">
        <f ca="1">IFERROR(VLOOKUP(SortedTimeline[经过排序的排名],ProjectTimelineData[],5,0),"")</f>
        <v/>
      </c>
    </row>
    <row r="113" spans="5:16" x14ac:dyDescent="0.3">
      <c r="E113" s="3" t="str">
        <f ca="1">IFERROR(RANK(F113,ProjectTimelineData[排名])+SUMPRODUCT(--(F113=ProjectTimelineData[排名]),--(J113&lt;ProjectTimelineData[NUM])),"")</f>
        <v/>
      </c>
      <c r="F113" s="3" t="str">
        <f ca="1">IFERROR(RANK(ProjectTimelineData[[#This Row],[日期]],ProjectTimelineData[日期],1),"")</f>
        <v/>
      </c>
      <c r="G113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13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13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13" s="2" t="str">
        <f ca="1">IFERROR(IF(ISBLANK(INDEX(ProjectDetails[#Data],ROW(A108)+1,1)),"",IF($J112-1&lt;=-1,"",$J112-1)),"")</f>
        <v/>
      </c>
      <c r="M113" s="3" t="str">
        <f ca="1">IFERROR(ProjectTimelineData[NUM]+1,"")</f>
        <v/>
      </c>
      <c r="N113" s="6" t="str">
        <f ca="1">IFERROR(VLOOKUP(SortedTimeline[经过排序的排名],ProjectTimelineData[],3,0),"")</f>
        <v/>
      </c>
      <c r="O113" s="2" t="str">
        <f ca="1">IFERROR(VLOOKUP(SortedTimeline[经过排序的排名],ProjectTimelineData[],4,0),"")</f>
        <v/>
      </c>
      <c r="P113" s="2" t="str">
        <f ca="1">IFERROR(VLOOKUP(SortedTimeline[经过排序的排名],ProjectTimelineData[],5,0),"")</f>
        <v/>
      </c>
    </row>
    <row r="114" spans="5:16" x14ac:dyDescent="0.3">
      <c r="E114" s="3" t="str">
        <f ca="1">IFERROR(RANK(F114,ProjectTimelineData[排名])+SUMPRODUCT(--(F114=ProjectTimelineData[排名]),--(J114&lt;ProjectTimelineData[NUM])),"")</f>
        <v/>
      </c>
      <c r="F114" s="3" t="str">
        <f ca="1">IFERROR(RANK(ProjectTimelineData[[#This Row],[日期]],ProjectTimelineData[日期],1),"")</f>
        <v/>
      </c>
      <c r="G114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14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14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14" s="2" t="str">
        <f ca="1">IFERROR(IF(ISBLANK(INDEX(ProjectDetails[#Data],ROW(A109)+1,1)),"",IF($J113-1&lt;=-1,"",$J113-1)),"")</f>
        <v/>
      </c>
      <c r="M114" s="3" t="str">
        <f ca="1">IFERROR(ProjectTimelineData[NUM]+1,"")</f>
        <v/>
      </c>
      <c r="N114" s="6" t="str">
        <f ca="1">IFERROR(VLOOKUP(SortedTimeline[经过排序的排名],ProjectTimelineData[],3,0),"")</f>
        <v/>
      </c>
      <c r="O114" s="2" t="str">
        <f ca="1">IFERROR(VLOOKUP(SortedTimeline[经过排序的排名],ProjectTimelineData[],4,0),"")</f>
        <v/>
      </c>
      <c r="P114" s="2" t="str">
        <f ca="1">IFERROR(VLOOKUP(SortedTimeline[经过排序的排名],ProjectTimelineData[],5,0),"")</f>
        <v/>
      </c>
    </row>
    <row r="115" spans="5:16" x14ac:dyDescent="0.3">
      <c r="E115" s="3" t="str">
        <f ca="1">IFERROR(RANK(F115,ProjectTimelineData[排名])+SUMPRODUCT(--(F115=ProjectTimelineData[排名]),--(J115&lt;ProjectTimelineData[NUM])),"")</f>
        <v/>
      </c>
      <c r="F115" s="3" t="str">
        <f ca="1">IFERROR(RANK(ProjectTimelineData[[#This Row],[日期]],ProjectTimelineData[日期],1),"")</f>
        <v/>
      </c>
      <c r="G115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15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15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15" s="2" t="str">
        <f ca="1">IFERROR(IF(ISBLANK(INDEX(ProjectDetails[#Data],ROW(A110)+1,1)),"",IF($J114-1&lt;=-1,"",$J114-1)),"")</f>
        <v/>
      </c>
      <c r="M115" s="3" t="str">
        <f ca="1">IFERROR(ProjectTimelineData[NUM]+1,"")</f>
        <v/>
      </c>
      <c r="N115" s="6" t="str">
        <f ca="1">IFERROR(VLOOKUP(SortedTimeline[经过排序的排名],ProjectTimelineData[],3,0),"")</f>
        <v/>
      </c>
      <c r="O115" s="2" t="str">
        <f ca="1">IFERROR(VLOOKUP(SortedTimeline[经过排序的排名],ProjectTimelineData[],4,0),"")</f>
        <v/>
      </c>
      <c r="P115" s="2" t="str">
        <f ca="1">IFERROR(VLOOKUP(SortedTimeline[经过排序的排名],ProjectTimelineData[],5,0),"")</f>
        <v/>
      </c>
    </row>
    <row r="116" spans="5:16" x14ac:dyDescent="0.3">
      <c r="E116" s="3" t="str">
        <f ca="1">IFERROR(RANK(F116,ProjectTimelineData[排名])+SUMPRODUCT(--(F116=ProjectTimelineData[排名]),--(J116&lt;ProjectTimelineData[NUM])),"")</f>
        <v/>
      </c>
      <c r="F116" s="3" t="str">
        <f ca="1">IFERROR(RANK(ProjectTimelineData[[#This Row],[日期]],ProjectTimelineData[日期],1),"")</f>
        <v/>
      </c>
      <c r="G116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1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16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16" s="2" t="str">
        <f ca="1">IFERROR(IF(ISBLANK(INDEX(ProjectDetails[#Data],ROW(A111)+1,1)),"",IF($J115-1&lt;=-1,"",$J115-1)),"")</f>
        <v/>
      </c>
      <c r="M116" s="3" t="str">
        <f ca="1">IFERROR(ProjectTimelineData[NUM]+1,"")</f>
        <v/>
      </c>
      <c r="N116" s="6" t="str">
        <f ca="1">IFERROR(VLOOKUP(SortedTimeline[经过排序的排名],ProjectTimelineData[],3,0),"")</f>
        <v/>
      </c>
      <c r="O116" s="2" t="str">
        <f ca="1">IFERROR(VLOOKUP(SortedTimeline[经过排序的排名],ProjectTimelineData[],4,0),"")</f>
        <v/>
      </c>
      <c r="P116" s="2" t="str">
        <f ca="1">IFERROR(VLOOKUP(SortedTimeline[经过排序的排名],ProjectTimelineData[],5,0),"")</f>
        <v/>
      </c>
    </row>
    <row r="117" spans="5:16" x14ac:dyDescent="0.3">
      <c r="E117" s="3" t="str">
        <f ca="1">IFERROR(RANK(F117,ProjectTimelineData[排名])+SUMPRODUCT(--(F117=ProjectTimelineData[排名]),--(J117&lt;ProjectTimelineData[NUM])),"")</f>
        <v/>
      </c>
      <c r="F117" s="3" t="str">
        <f ca="1">IFERROR(RANK(ProjectTimelineData[[#This Row],[日期]],ProjectTimelineData[日期],1),"")</f>
        <v/>
      </c>
      <c r="G117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1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17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17" s="2" t="str">
        <f ca="1">IFERROR(IF(ISBLANK(INDEX(ProjectDetails[#Data],ROW(A112)+1,1)),"",IF($J116-1&lt;=-1,"",$J116-1)),"")</f>
        <v/>
      </c>
      <c r="M117" s="3" t="str">
        <f ca="1">IFERROR(ProjectTimelineData[NUM]+1,"")</f>
        <v/>
      </c>
      <c r="N117" s="6" t="str">
        <f ca="1">IFERROR(VLOOKUP(SortedTimeline[经过排序的排名],ProjectTimelineData[],3,0),"")</f>
        <v/>
      </c>
      <c r="O117" s="2" t="str">
        <f ca="1">IFERROR(VLOOKUP(SortedTimeline[经过排序的排名],ProjectTimelineData[],4,0),"")</f>
        <v/>
      </c>
      <c r="P117" s="2" t="str">
        <f ca="1">IFERROR(VLOOKUP(SortedTimeline[经过排序的排名],ProjectTimelineData[],5,0),"")</f>
        <v/>
      </c>
    </row>
    <row r="118" spans="5:16" x14ac:dyDescent="0.3">
      <c r="E118" s="3" t="str">
        <f ca="1">IFERROR(RANK(F118,ProjectTimelineData[排名])+SUMPRODUCT(--(F118=ProjectTimelineData[排名]),--(J118&lt;ProjectTimelineData[NUM])),"")</f>
        <v/>
      </c>
      <c r="F118" s="3" t="str">
        <f ca="1">IFERROR(RANK(ProjectTimelineData[[#This Row],[日期]],ProjectTimelineData[日期],1),"")</f>
        <v/>
      </c>
      <c r="G118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1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18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18" s="2" t="str">
        <f ca="1">IFERROR(IF(ISBLANK(INDEX(ProjectDetails[#Data],ROW(A113)+1,1)),"",IF($J117-1&lt;=-1,"",$J117-1)),"")</f>
        <v/>
      </c>
      <c r="M118" s="3" t="str">
        <f ca="1">IFERROR(ProjectTimelineData[NUM]+1,"")</f>
        <v/>
      </c>
      <c r="N118" s="6" t="str">
        <f ca="1">IFERROR(VLOOKUP(SortedTimeline[经过排序的排名],ProjectTimelineData[],3,0),"")</f>
        <v/>
      </c>
      <c r="O118" s="2" t="str">
        <f ca="1">IFERROR(VLOOKUP(SortedTimeline[经过排序的排名],ProjectTimelineData[],4,0),"")</f>
        <v/>
      </c>
      <c r="P118" s="2" t="str">
        <f ca="1">IFERROR(VLOOKUP(SortedTimeline[经过排序的排名],ProjectTimelineData[],5,0),"")</f>
        <v/>
      </c>
    </row>
    <row r="119" spans="5:16" x14ac:dyDescent="0.3">
      <c r="E119" s="3" t="str">
        <f ca="1">IFERROR(RANK(F119,ProjectTimelineData[排名])+SUMPRODUCT(--(F119=ProjectTimelineData[排名]),--(J119&lt;ProjectTimelineData[NUM])),"")</f>
        <v/>
      </c>
      <c r="F119" s="3" t="str">
        <f ca="1">IFERROR(RANK(ProjectTimelineData[[#This Row],[日期]],ProjectTimelineData[日期],1),"")</f>
        <v/>
      </c>
      <c r="G119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1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19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19" s="2" t="str">
        <f ca="1">IFERROR(IF(ISBLANK(INDEX(ProjectDetails[#Data],ROW(A114)+1,1)),"",IF($J118-1&lt;=-1,"",$J118-1)),"")</f>
        <v/>
      </c>
      <c r="M119" s="3" t="str">
        <f ca="1">IFERROR(ProjectTimelineData[NUM]+1,"")</f>
        <v/>
      </c>
      <c r="N119" s="6" t="str">
        <f ca="1">IFERROR(VLOOKUP(SortedTimeline[经过排序的排名],ProjectTimelineData[],3,0),"")</f>
        <v/>
      </c>
      <c r="O119" s="2" t="str">
        <f ca="1">IFERROR(VLOOKUP(SortedTimeline[经过排序的排名],ProjectTimelineData[],4,0),"")</f>
        <v/>
      </c>
      <c r="P119" s="2" t="str">
        <f ca="1">IFERROR(VLOOKUP(SortedTimeline[经过排序的排名],ProjectTimelineData[],5,0),"")</f>
        <v/>
      </c>
    </row>
    <row r="120" spans="5:16" x14ac:dyDescent="0.3">
      <c r="E120" s="3" t="str">
        <f ca="1">IFERROR(RANK(F120,ProjectTimelineData[排名])+SUMPRODUCT(--(F120=ProjectTimelineData[排名]),--(J120&lt;ProjectTimelineData[NUM])),"")</f>
        <v/>
      </c>
      <c r="F120" s="3" t="str">
        <f ca="1">IFERROR(RANK(ProjectTimelineData[[#This Row],[日期]],ProjectTimelineData[日期],1),"")</f>
        <v/>
      </c>
      <c r="G120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20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20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20" s="2" t="str">
        <f ca="1">IFERROR(IF(ISBLANK(INDEX(ProjectDetails[#Data],ROW(A115)+1,1)),"",IF($J119-1&lt;=-1,"",$J119-1)),"")</f>
        <v/>
      </c>
      <c r="M120" s="3" t="str">
        <f ca="1">IFERROR(ProjectTimelineData[NUM]+1,"")</f>
        <v/>
      </c>
      <c r="N120" s="6" t="str">
        <f ca="1">IFERROR(VLOOKUP(SortedTimeline[经过排序的排名],ProjectTimelineData[],3,0),"")</f>
        <v/>
      </c>
      <c r="O120" s="2" t="str">
        <f ca="1">IFERROR(VLOOKUP(SortedTimeline[经过排序的排名],ProjectTimelineData[],4,0),"")</f>
        <v/>
      </c>
      <c r="P120" s="2" t="str">
        <f ca="1">IFERROR(VLOOKUP(SortedTimeline[经过排序的排名],ProjectTimelineData[],5,0),"")</f>
        <v/>
      </c>
    </row>
    <row r="121" spans="5:16" x14ac:dyDescent="0.3">
      <c r="E121" s="3" t="str">
        <f ca="1">IFERROR(RANK(F121,ProjectTimelineData[排名])+SUMPRODUCT(--(F121=ProjectTimelineData[排名]),--(J121&lt;ProjectTimelineData[NUM])),"")</f>
        <v/>
      </c>
      <c r="F121" s="3" t="str">
        <f ca="1">IFERROR(RANK(ProjectTimelineData[[#This Row],[日期]],ProjectTimelineData[日期],1),"")</f>
        <v/>
      </c>
      <c r="G121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21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21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21" s="2" t="str">
        <f ca="1">IFERROR(IF(ISBLANK(INDEX(ProjectDetails[#Data],ROW(A116)+1,1)),"",IF($J120-1&lt;=-1,"",$J120-1)),"")</f>
        <v/>
      </c>
      <c r="M121" s="3" t="str">
        <f ca="1">IFERROR(ProjectTimelineData[NUM]+1,"")</f>
        <v/>
      </c>
      <c r="N121" s="6" t="str">
        <f ca="1">IFERROR(VLOOKUP(SortedTimeline[经过排序的排名],ProjectTimelineData[],3,0),"")</f>
        <v/>
      </c>
      <c r="O121" s="2" t="str">
        <f ca="1">IFERROR(VLOOKUP(SortedTimeline[经过排序的排名],ProjectTimelineData[],4,0),"")</f>
        <v/>
      </c>
      <c r="P121" s="2" t="str">
        <f ca="1">IFERROR(VLOOKUP(SortedTimeline[经过排序的排名],ProjectTimelineData[],5,0),"")</f>
        <v/>
      </c>
    </row>
    <row r="122" spans="5:16" x14ac:dyDescent="0.3">
      <c r="E122" s="3" t="str">
        <f ca="1">IFERROR(RANK(F122,ProjectTimelineData[排名])+SUMPRODUCT(--(F122=ProjectTimelineData[排名]),--(J122&lt;ProjectTimelineData[NUM])),"")</f>
        <v/>
      </c>
      <c r="F122" s="3" t="str">
        <f ca="1">IFERROR(RANK(ProjectTimelineData[[#This Row],[日期]],ProjectTimelineData[日期],1),"")</f>
        <v/>
      </c>
      <c r="G122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22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22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22" s="2" t="str">
        <f ca="1">IFERROR(IF(ISBLANK(INDEX(ProjectDetails[#Data],ROW(A117)+1,1)),"",IF($J121-1&lt;=-1,"",$J121-1)),"")</f>
        <v/>
      </c>
      <c r="M122" s="3" t="str">
        <f ca="1">IFERROR(ProjectTimelineData[NUM]+1,"")</f>
        <v/>
      </c>
      <c r="N122" s="6" t="str">
        <f ca="1">IFERROR(VLOOKUP(SortedTimeline[经过排序的排名],ProjectTimelineData[],3,0),"")</f>
        <v/>
      </c>
      <c r="O122" s="2" t="str">
        <f ca="1">IFERROR(VLOOKUP(SortedTimeline[经过排序的排名],ProjectTimelineData[],4,0),"")</f>
        <v/>
      </c>
      <c r="P122" s="2" t="str">
        <f ca="1">IFERROR(VLOOKUP(SortedTimeline[经过排序的排名],ProjectTimelineData[],5,0),"")</f>
        <v/>
      </c>
    </row>
    <row r="123" spans="5:16" x14ac:dyDescent="0.3">
      <c r="E123" s="3" t="str">
        <f ca="1">IFERROR(RANK(F123,ProjectTimelineData[排名])+SUMPRODUCT(--(F123=ProjectTimelineData[排名]),--(J123&lt;ProjectTimelineData[NUM])),"")</f>
        <v/>
      </c>
      <c r="F123" s="3" t="str">
        <f ca="1">IFERROR(RANK(ProjectTimelineData[[#This Row],[日期]],ProjectTimelineData[日期],1),"")</f>
        <v/>
      </c>
      <c r="G123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23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23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23" s="2" t="str">
        <f ca="1">IFERROR(IF(ISBLANK(INDEX(ProjectDetails[#Data],ROW(A118)+1,1)),"",IF($J122-1&lt;=-1,"",$J122-1)),"")</f>
        <v/>
      </c>
      <c r="M123" s="3" t="str">
        <f ca="1">IFERROR(ProjectTimelineData[NUM]+1,"")</f>
        <v/>
      </c>
      <c r="N123" s="6" t="str">
        <f ca="1">IFERROR(VLOOKUP(SortedTimeline[经过排序的排名],ProjectTimelineData[],3,0),"")</f>
        <v/>
      </c>
      <c r="O123" s="2" t="str">
        <f ca="1">IFERROR(VLOOKUP(SortedTimeline[经过排序的排名],ProjectTimelineData[],4,0),"")</f>
        <v/>
      </c>
      <c r="P123" s="2" t="str">
        <f ca="1">IFERROR(VLOOKUP(SortedTimeline[经过排序的排名],ProjectTimelineData[],5,0),"")</f>
        <v/>
      </c>
    </row>
    <row r="124" spans="5:16" x14ac:dyDescent="0.3">
      <c r="E124" s="3" t="str">
        <f ca="1">IFERROR(RANK(F124,ProjectTimelineData[排名])+SUMPRODUCT(--(F124=ProjectTimelineData[排名]),--(J124&lt;ProjectTimelineData[NUM])),"")</f>
        <v/>
      </c>
      <c r="F124" s="3" t="str">
        <f ca="1">IFERROR(RANK(ProjectTimelineData[[#This Row],[日期]],ProjectTimelineData[日期],1),"")</f>
        <v/>
      </c>
      <c r="G124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24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24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24" s="2" t="str">
        <f ca="1">IFERROR(IF(ISBLANK(INDEX(ProjectDetails[#Data],ROW(A119)+1,1)),"",IF($J123-1&lt;=-1,"",$J123-1)),"")</f>
        <v/>
      </c>
      <c r="M124" s="3" t="str">
        <f ca="1">IFERROR(ProjectTimelineData[NUM]+1,"")</f>
        <v/>
      </c>
      <c r="N124" s="6" t="str">
        <f ca="1">IFERROR(VLOOKUP(SortedTimeline[经过排序的排名],ProjectTimelineData[],3,0),"")</f>
        <v/>
      </c>
      <c r="O124" s="2" t="str">
        <f ca="1">IFERROR(VLOOKUP(SortedTimeline[经过排序的排名],ProjectTimelineData[],4,0),"")</f>
        <v/>
      </c>
      <c r="P124" s="2" t="str">
        <f ca="1">IFERROR(VLOOKUP(SortedTimeline[经过排序的排名],ProjectTimelineData[],5,0),"")</f>
        <v/>
      </c>
    </row>
    <row r="125" spans="5:16" x14ac:dyDescent="0.3">
      <c r="E125" s="3" t="str">
        <f ca="1">IFERROR(RANK(F125,ProjectTimelineData[排名])+SUMPRODUCT(--(F125=ProjectTimelineData[排名]),--(J125&lt;ProjectTimelineData[NUM])),"")</f>
        <v/>
      </c>
      <c r="F125" s="3" t="str">
        <f ca="1">IFERROR(RANK(ProjectTimelineData[[#This Row],[日期]],ProjectTimelineData[日期],1),"")</f>
        <v/>
      </c>
      <c r="G125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25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25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25" s="2" t="str">
        <f ca="1">IFERROR(IF(ISBLANK(INDEX(ProjectDetails[#Data],ROW(A120)+1,1)),"",IF($J124-1&lt;=-1,"",$J124-1)),"")</f>
        <v/>
      </c>
      <c r="M125" s="3" t="str">
        <f ca="1">IFERROR(ProjectTimelineData[NUM]+1,"")</f>
        <v/>
      </c>
      <c r="N125" s="6" t="str">
        <f ca="1">IFERROR(VLOOKUP(SortedTimeline[经过排序的排名],ProjectTimelineData[],3,0),"")</f>
        <v/>
      </c>
      <c r="O125" s="2" t="str">
        <f ca="1">IFERROR(VLOOKUP(SortedTimeline[经过排序的排名],ProjectTimelineData[],4,0),"")</f>
        <v/>
      </c>
      <c r="P125" s="2" t="str">
        <f ca="1">IFERROR(VLOOKUP(SortedTimeline[经过排序的排名],ProjectTimelineData[],5,0),"")</f>
        <v/>
      </c>
    </row>
    <row r="126" spans="5:16" x14ac:dyDescent="0.3">
      <c r="E126" s="3" t="str">
        <f ca="1">IFERROR(RANK(F126,ProjectTimelineData[排名])+SUMPRODUCT(--(F126=ProjectTimelineData[排名]),--(J126&lt;ProjectTimelineData[NUM])),"")</f>
        <v/>
      </c>
      <c r="F126" s="3" t="str">
        <f ca="1">IFERROR(RANK(ProjectTimelineData[[#This Row],[日期]],ProjectTimelineData[日期],1),"")</f>
        <v/>
      </c>
      <c r="G126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2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26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26" s="2" t="str">
        <f ca="1">IFERROR(IF(ISBLANK(INDEX(ProjectDetails[#Data],ROW(A121)+1,1)),"",IF($J125-1&lt;=-1,"",$J125-1)),"")</f>
        <v/>
      </c>
      <c r="M126" s="3" t="str">
        <f ca="1">IFERROR(ProjectTimelineData[NUM]+1,"")</f>
        <v/>
      </c>
      <c r="N126" s="6" t="str">
        <f ca="1">IFERROR(VLOOKUP(SortedTimeline[经过排序的排名],ProjectTimelineData[],3,0),"")</f>
        <v/>
      </c>
      <c r="O126" s="2" t="str">
        <f ca="1">IFERROR(VLOOKUP(SortedTimeline[经过排序的排名],ProjectTimelineData[],4,0),"")</f>
        <v/>
      </c>
      <c r="P126" s="2" t="str">
        <f ca="1">IFERROR(VLOOKUP(SortedTimeline[经过排序的排名],ProjectTimelineData[],5,0),"")</f>
        <v/>
      </c>
    </row>
    <row r="127" spans="5:16" x14ac:dyDescent="0.3">
      <c r="E127" s="3" t="str">
        <f ca="1">IFERROR(RANK(F127,ProjectTimelineData[排名])+SUMPRODUCT(--(F127=ProjectTimelineData[排名]),--(J127&lt;ProjectTimelineData[NUM])),"")</f>
        <v/>
      </c>
      <c r="F127" s="3" t="str">
        <f ca="1">IFERROR(RANK(ProjectTimelineData[[#This Row],[日期]],ProjectTimelineData[日期],1),"")</f>
        <v/>
      </c>
      <c r="G127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2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27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27" s="2" t="str">
        <f ca="1">IFERROR(IF(ISBLANK(INDEX(ProjectDetails[#Data],ROW(A122)+1,1)),"",IF($J126-1&lt;=-1,"",$J126-1)),"")</f>
        <v/>
      </c>
      <c r="M127" s="3" t="str">
        <f ca="1">IFERROR(ProjectTimelineData[NUM]+1,"")</f>
        <v/>
      </c>
      <c r="N127" s="6" t="str">
        <f ca="1">IFERROR(VLOOKUP(SortedTimeline[经过排序的排名],ProjectTimelineData[],3,0),"")</f>
        <v/>
      </c>
      <c r="O127" s="2" t="str">
        <f ca="1">IFERROR(VLOOKUP(SortedTimeline[经过排序的排名],ProjectTimelineData[],4,0),"")</f>
        <v/>
      </c>
      <c r="P127" s="2" t="str">
        <f ca="1">IFERROR(VLOOKUP(SortedTimeline[经过排序的排名],ProjectTimelineData[],5,0),"")</f>
        <v/>
      </c>
    </row>
    <row r="128" spans="5:16" x14ac:dyDescent="0.3">
      <c r="E128" s="3" t="str">
        <f ca="1">IFERROR(RANK(F128,ProjectTimelineData[排名])+SUMPRODUCT(--(F128=ProjectTimelineData[排名]),--(J128&lt;ProjectTimelineData[NUM])),"")</f>
        <v/>
      </c>
      <c r="F128" s="3" t="str">
        <f ca="1">IFERROR(RANK(ProjectTimelineData[[#This Row],[日期]],ProjectTimelineData[日期],1),"")</f>
        <v/>
      </c>
      <c r="G128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2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28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28" s="2" t="str">
        <f ca="1">IFERROR(IF(ISBLANK(INDEX(ProjectDetails[#Data],ROW(A123)+1,1)),"",IF($J127-1&lt;=-1,"",$J127-1)),"")</f>
        <v/>
      </c>
      <c r="M128" s="3" t="str">
        <f ca="1">IFERROR(ProjectTimelineData[NUM]+1,"")</f>
        <v/>
      </c>
      <c r="N128" s="6" t="str">
        <f ca="1">IFERROR(VLOOKUP(SortedTimeline[经过排序的排名],ProjectTimelineData[],3,0),"")</f>
        <v/>
      </c>
      <c r="O128" s="2" t="str">
        <f ca="1">IFERROR(VLOOKUP(SortedTimeline[经过排序的排名],ProjectTimelineData[],4,0),"")</f>
        <v/>
      </c>
      <c r="P128" s="2" t="str">
        <f ca="1">IFERROR(VLOOKUP(SortedTimeline[经过排序的排名],ProjectTimelineData[],5,0),"")</f>
        <v/>
      </c>
    </row>
    <row r="129" spans="5:16" x14ac:dyDescent="0.3">
      <c r="E129" s="3" t="str">
        <f ca="1">IFERROR(RANK(F129,ProjectTimelineData[排名])+SUMPRODUCT(--(F129=ProjectTimelineData[排名]),--(J129&lt;ProjectTimelineData[NUM])),"")</f>
        <v/>
      </c>
      <c r="F129" s="3" t="str">
        <f ca="1">IFERROR(RANK(ProjectTimelineData[[#This Row],[日期]],ProjectTimelineData[日期],1),"")</f>
        <v/>
      </c>
      <c r="G129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2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29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29" s="2" t="str">
        <f ca="1">IFERROR(IF(ISBLANK(INDEX(ProjectDetails[#Data],ROW(A124)+1,1)),"",IF($J128-1&lt;=-1,"",$J128-1)),"")</f>
        <v/>
      </c>
      <c r="M129" s="3" t="str">
        <f ca="1">IFERROR(ProjectTimelineData[NUM]+1,"")</f>
        <v/>
      </c>
      <c r="N129" s="6" t="str">
        <f ca="1">IFERROR(VLOOKUP(SortedTimeline[经过排序的排名],ProjectTimelineData[],3,0),"")</f>
        <v/>
      </c>
      <c r="O129" s="2" t="str">
        <f ca="1">IFERROR(VLOOKUP(SortedTimeline[经过排序的排名],ProjectTimelineData[],4,0),"")</f>
        <v/>
      </c>
      <c r="P129" s="2" t="str">
        <f ca="1">IFERROR(VLOOKUP(SortedTimeline[经过排序的排名],ProjectTimelineData[],5,0),"")</f>
        <v/>
      </c>
    </row>
    <row r="130" spans="5:16" x14ac:dyDescent="0.3">
      <c r="E130" s="3" t="str">
        <f ca="1">IFERROR(RANK(F130,ProjectTimelineData[排名])+SUMPRODUCT(--(F130=ProjectTimelineData[排名]),--(J130&lt;ProjectTimelineData[NUM])),"")</f>
        <v/>
      </c>
      <c r="F130" s="3" t="str">
        <f ca="1">IFERROR(RANK(ProjectTimelineData[[#This Row],[日期]],ProjectTimelineData[日期],1),"")</f>
        <v/>
      </c>
      <c r="G130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30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30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30" s="2" t="str">
        <f ca="1">IFERROR(IF(ISBLANK(INDEX(ProjectDetails[#Data],ROW(A125)+1,1)),"",IF($J129-1&lt;=-1,"",$J129-1)),"")</f>
        <v/>
      </c>
      <c r="M130" s="3" t="str">
        <f ca="1">IFERROR(ProjectTimelineData[NUM]+1,"")</f>
        <v/>
      </c>
      <c r="N130" s="6" t="str">
        <f ca="1">IFERROR(VLOOKUP(SortedTimeline[经过排序的排名],ProjectTimelineData[],3,0),"")</f>
        <v/>
      </c>
      <c r="O130" s="2" t="str">
        <f ca="1">IFERROR(VLOOKUP(SortedTimeline[经过排序的排名],ProjectTimelineData[],4,0),"")</f>
        <v/>
      </c>
      <c r="P130" s="2" t="str">
        <f ca="1">IFERROR(VLOOKUP(SortedTimeline[经过排序的排名],ProjectTimelineData[],5,0),"")</f>
        <v/>
      </c>
    </row>
    <row r="131" spans="5:16" x14ac:dyDescent="0.3">
      <c r="E131" s="3" t="str">
        <f ca="1">IFERROR(RANK(F131,ProjectTimelineData[排名])+SUMPRODUCT(--(F131=ProjectTimelineData[排名]),--(J131&lt;ProjectTimelineData[NUM])),"")</f>
        <v/>
      </c>
      <c r="F131" s="3" t="str">
        <f ca="1">IFERROR(RANK(ProjectTimelineData[[#This Row],[日期]],ProjectTimelineData[日期],1),"")</f>
        <v/>
      </c>
      <c r="G131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31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31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31" s="2" t="str">
        <f ca="1">IFERROR(IF(ISBLANK(INDEX(ProjectDetails[#Data],ROW(A126)+1,1)),"",IF($J130-1&lt;=-1,"",$J130-1)),"")</f>
        <v/>
      </c>
      <c r="M131" s="3" t="str">
        <f ca="1">IFERROR(ProjectTimelineData[NUM]+1,"")</f>
        <v/>
      </c>
      <c r="N131" s="6" t="str">
        <f ca="1">IFERROR(VLOOKUP(SortedTimeline[经过排序的排名],ProjectTimelineData[],3,0),"")</f>
        <v/>
      </c>
      <c r="O131" s="2" t="str">
        <f ca="1">IFERROR(VLOOKUP(SortedTimeline[经过排序的排名],ProjectTimelineData[],4,0),"")</f>
        <v/>
      </c>
      <c r="P131" s="2" t="str">
        <f ca="1">IFERROR(VLOOKUP(SortedTimeline[经过排序的排名],ProjectTimelineData[],5,0),"")</f>
        <v/>
      </c>
    </row>
    <row r="132" spans="5:16" x14ac:dyDescent="0.3">
      <c r="E132" s="3" t="str">
        <f ca="1">IFERROR(RANK(F132,ProjectTimelineData[排名])+SUMPRODUCT(--(F132=ProjectTimelineData[排名]),--(J132&lt;ProjectTimelineData[NUM])),"")</f>
        <v/>
      </c>
      <c r="F132" s="3" t="str">
        <f ca="1">IFERROR(RANK(ProjectTimelineData[[#This Row],[日期]],ProjectTimelineData[日期],1),"")</f>
        <v/>
      </c>
      <c r="G132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32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32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32" s="2" t="str">
        <f ca="1">IFERROR(IF(ISBLANK(INDEX(ProjectDetails[#Data],ROW(A127)+1,1)),"",IF($J131-1&lt;=-1,"",$J131-1)),"")</f>
        <v/>
      </c>
      <c r="M132" s="3" t="str">
        <f ca="1">IFERROR(ProjectTimelineData[NUM]+1,"")</f>
        <v/>
      </c>
      <c r="N132" s="6" t="str">
        <f ca="1">IFERROR(VLOOKUP(SortedTimeline[经过排序的排名],ProjectTimelineData[],3,0),"")</f>
        <v/>
      </c>
      <c r="O132" s="2" t="str">
        <f ca="1">IFERROR(VLOOKUP(SortedTimeline[经过排序的排名],ProjectTimelineData[],4,0),"")</f>
        <v/>
      </c>
      <c r="P132" s="2" t="str">
        <f ca="1">IFERROR(VLOOKUP(SortedTimeline[经过排序的排名],ProjectTimelineData[],5,0),"")</f>
        <v/>
      </c>
    </row>
    <row r="133" spans="5:16" x14ac:dyDescent="0.3">
      <c r="E133" s="3" t="str">
        <f ca="1">IFERROR(RANK(F133,ProjectTimelineData[排名])+SUMPRODUCT(--(F133=ProjectTimelineData[排名]),--(J133&lt;ProjectTimelineData[NUM])),"")</f>
        <v/>
      </c>
      <c r="F133" s="3" t="str">
        <f ca="1">IFERROR(RANK(ProjectTimelineData[[#This Row],[日期]],ProjectTimelineData[日期],1),"")</f>
        <v/>
      </c>
      <c r="G133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33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33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33" s="2" t="str">
        <f ca="1">IFERROR(IF(ISBLANK(INDEX(ProjectDetails[#Data],ROW(A128)+1,1)),"",IF($J132-1&lt;=-1,"",$J132-1)),"")</f>
        <v/>
      </c>
      <c r="M133" s="3" t="str">
        <f ca="1">IFERROR(ProjectTimelineData[NUM]+1,"")</f>
        <v/>
      </c>
      <c r="N133" s="6" t="str">
        <f ca="1">IFERROR(VLOOKUP(SortedTimeline[经过排序的排名],ProjectTimelineData[],3,0),"")</f>
        <v/>
      </c>
      <c r="O133" s="2" t="str">
        <f ca="1">IFERROR(VLOOKUP(SortedTimeline[经过排序的排名],ProjectTimelineData[],4,0),"")</f>
        <v/>
      </c>
      <c r="P133" s="2" t="str">
        <f ca="1">IFERROR(VLOOKUP(SortedTimeline[经过排序的排名],ProjectTimelineData[],5,0),"")</f>
        <v/>
      </c>
    </row>
    <row r="134" spans="5:16" x14ac:dyDescent="0.3">
      <c r="E134" s="3" t="str">
        <f ca="1">IFERROR(RANK(F134,ProjectTimelineData[排名])+SUMPRODUCT(--(F134=ProjectTimelineData[排名]),--(J134&lt;ProjectTimelineData[NUM])),"")</f>
        <v/>
      </c>
      <c r="F134" s="3" t="str">
        <f ca="1">IFERROR(RANK(ProjectTimelineData[[#This Row],[日期]],ProjectTimelineData[日期],1),"")</f>
        <v/>
      </c>
      <c r="G134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34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34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34" s="2" t="str">
        <f ca="1">IFERROR(IF(ISBLANK(INDEX(ProjectDetails[#Data],ROW(A129)+1,1)),"",IF($J133-1&lt;=-1,"",$J133-1)),"")</f>
        <v/>
      </c>
      <c r="M134" s="3" t="str">
        <f ca="1">IFERROR(ProjectTimelineData[NUM]+1,"")</f>
        <v/>
      </c>
      <c r="N134" s="6" t="str">
        <f ca="1">IFERROR(VLOOKUP(SortedTimeline[经过排序的排名],ProjectTimelineData[],3,0),"")</f>
        <v/>
      </c>
      <c r="O134" s="2" t="str">
        <f ca="1">IFERROR(VLOOKUP(SortedTimeline[经过排序的排名],ProjectTimelineData[],4,0),"")</f>
        <v/>
      </c>
      <c r="P134" s="2" t="str">
        <f ca="1">IFERROR(VLOOKUP(SortedTimeline[经过排序的排名],ProjectTimelineData[],5,0),"")</f>
        <v/>
      </c>
    </row>
    <row r="135" spans="5:16" x14ac:dyDescent="0.3">
      <c r="E135" s="3" t="str">
        <f ca="1">IFERROR(RANK(F135,ProjectTimelineData[排名])+SUMPRODUCT(--(F135=ProjectTimelineData[排名]),--(J135&lt;ProjectTimelineData[NUM])),"")</f>
        <v/>
      </c>
      <c r="F135" s="3" t="str">
        <f ca="1">IFERROR(RANK(ProjectTimelineData[[#This Row],[日期]],ProjectTimelineData[日期],1),"")</f>
        <v/>
      </c>
      <c r="G135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35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35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35" s="2" t="str">
        <f ca="1">IFERROR(IF(ISBLANK(INDEX(ProjectDetails[#Data],ROW(A130)+1,1)),"",IF($J134-1&lt;=-1,"",$J134-1)),"")</f>
        <v/>
      </c>
      <c r="M135" s="3" t="str">
        <f ca="1">IFERROR(ProjectTimelineData[NUM]+1,"")</f>
        <v/>
      </c>
      <c r="N135" s="6" t="str">
        <f ca="1">IFERROR(VLOOKUP(SortedTimeline[经过排序的排名],ProjectTimelineData[],3,0),"")</f>
        <v/>
      </c>
      <c r="O135" s="2" t="str">
        <f ca="1">IFERROR(VLOOKUP(SortedTimeline[经过排序的排名],ProjectTimelineData[],4,0),"")</f>
        <v/>
      </c>
      <c r="P135" s="2" t="str">
        <f ca="1">IFERROR(VLOOKUP(SortedTimeline[经过排序的排名],ProjectTimelineData[],5,0),"")</f>
        <v/>
      </c>
    </row>
    <row r="136" spans="5:16" x14ac:dyDescent="0.3">
      <c r="E136" s="3" t="str">
        <f ca="1">IFERROR(RANK(F136,ProjectTimelineData[排名])+SUMPRODUCT(--(F136=ProjectTimelineData[排名]),--(J136&lt;ProjectTimelineData[NUM])),"")</f>
        <v/>
      </c>
      <c r="F136" s="3" t="str">
        <f ca="1">IFERROR(RANK(ProjectTimelineData[[#This Row],[日期]],ProjectTimelineData[日期],1),"")</f>
        <v/>
      </c>
      <c r="G136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3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36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36" s="2" t="str">
        <f ca="1">IFERROR(IF(ISBLANK(INDEX(ProjectDetails[#Data],ROW(A131)+1,1)),"",IF($J135-1&lt;=-1,"",$J135-1)),"")</f>
        <v/>
      </c>
      <c r="M136" s="3" t="str">
        <f ca="1">IFERROR(ProjectTimelineData[NUM]+1,"")</f>
        <v/>
      </c>
      <c r="N136" s="6" t="str">
        <f ca="1">IFERROR(VLOOKUP(SortedTimeline[经过排序的排名],ProjectTimelineData[],3,0),"")</f>
        <v/>
      </c>
      <c r="O136" s="2" t="str">
        <f ca="1">IFERROR(VLOOKUP(SortedTimeline[经过排序的排名],ProjectTimelineData[],4,0),"")</f>
        <v/>
      </c>
      <c r="P136" s="2" t="str">
        <f ca="1">IFERROR(VLOOKUP(SortedTimeline[经过排序的排名],ProjectTimelineData[],5,0),"")</f>
        <v/>
      </c>
    </row>
    <row r="137" spans="5:16" x14ac:dyDescent="0.3">
      <c r="E137" s="3" t="str">
        <f ca="1">IFERROR(RANK(F137,ProjectTimelineData[排名])+SUMPRODUCT(--(F137=ProjectTimelineData[排名]),--(J137&lt;ProjectTimelineData[NUM])),"")</f>
        <v/>
      </c>
      <c r="F137" s="3" t="str">
        <f ca="1">IFERROR(RANK(ProjectTimelineData[[#This Row],[日期]],ProjectTimelineData[日期],1),"")</f>
        <v/>
      </c>
      <c r="G137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3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37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37" s="2" t="str">
        <f ca="1">IFERROR(IF(ISBLANK(INDEX(ProjectDetails[#Data],ROW(A132)+1,1)),"",IF($J136-1&lt;=-1,"",$J136-1)),"")</f>
        <v/>
      </c>
      <c r="M137" s="3" t="str">
        <f ca="1">IFERROR(ProjectTimelineData[NUM]+1,"")</f>
        <v/>
      </c>
      <c r="N137" s="6" t="str">
        <f ca="1">IFERROR(VLOOKUP(SortedTimeline[经过排序的排名],ProjectTimelineData[],3,0),"")</f>
        <v/>
      </c>
      <c r="O137" s="2" t="str">
        <f ca="1">IFERROR(VLOOKUP(SortedTimeline[经过排序的排名],ProjectTimelineData[],4,0),"")</f>
        <v/>
      </c>
      <c r="P137" s="2" t="str">
        <f ca="1">IFERROR(VLOOKUP(SortedTimeline[经过排序的排名],ProjectTimelineData[],5,0),"")</f>
        <v/>
      </c>
    </row>
    <row r="138" spans="5:16" x14ac:dyDescent="0.3">
      <c r="E138" s="3" t="str">
        <f ca="1">IFERROR(RANK(F138,ProjectTimelineData[排名])+SUMPRODUCT(--(F138=ProjectTimelineData[排名]),--(J138&lt;ProjectTimelineData[NUM])),"")</f>
        <v/>
      </c>
      <c r="F138" s="3" t="str">
        <f ca="1">IFERROR(RANK(ProjectTimelineData[[#This Row],[日期]],ProjectTimelineData[日期],1),"")</f>
        <v/>
      </c>
      <c r="G138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3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38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38" s="2" t="str">
        <f ca="1">IFERROR(IF(ISBLANK(INDEX(ProjectDetails[#Data],ROW(A133)+1,1)),"",IF($J137-1&lt;=-1,"",$J137-1)),"")</f>
        <v/>
      </c>
      <c r="M138" s="3" t="str">
        <f ca="1">IFERROR(ProjectTimelineData[NUM]+1,"")</f>
        <v/>
      </c>
      <c r="N138" s="6" t="str">
        <f ca="1">IFERROR(VLOOKUP(SortedTimeline[经过排序的排名],ProjectTimelineData[],3,0),"")</f>
        <v/>
      </c>
      <c r="O138" s="2" t="str">
        <f ca="1">IFERROR(VLOOKUP(SortedTimeline[经过排序的排名],ProjectTimelineData[],4,0),"")</f>
        <v/>
      </c>
      <c r="P138" s="2" t="str">
        <f ca="1">IFERROR(VLOOKUP(SortedTimeline[经过排序的排名],ProjectTimelineData[],5,0),"")</f>
        <v/>
      </c>
    </row>
    <row r="139" spans="5:16" x14ac:dyDescent="0.3">
      <c r="E139" s="3" t="str">
        <f ca="1">IFERROR(RANK(F139,ProjectTimelineData[排名])+SUMPRODUCT(--(F139=ProjectTimelineData[排名]),--(J139&lt;ProjectTimelineData[NUM])),"")</f>
        <v/>
      </c>
      <c r="F139" s="3" t="str">
        <f ca="1">IFERROR(RANK(ProjectTimelineData[[#This Row],[日期]],ProjectTimelineData[日期],1),"")</f>
        <v/>
      </c>
      <c r="G139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3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39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39" s="2" t="str">
        <f ca="1">IFERROR(IF(ISBLANK(INDEX(ProjectDetails[#Data],ROW(A134)+1,1)),"",IF($J138-1&lt;=-1,"",$J138-1)),"")</f>
        <v/>
      </c>
      <c r="M139" s="3" t="str">
        <f ca="1">IFERROR(ProjectTimelineData[NUM]+1,"")</f>
        <v/>
      </c>
      <c r="N139" s="6" t="str">
        <f ca="1">IFERROR(VLOOKUP(SortedTimeline[经过排序的排名],ProjectTimelineData[],3,0),"")</f>
        <v/>
      </c>
      <c r="O139" s="2" t="str">
        <f ca="1">IFERROR(VLOOKUP(SortedTimeline[经过排序的排名],ProjectTimelineData[],4,0),"")</f>
        <v/>
      </c>
      <c r="P139" s="2" t="str">
        <f ca="1">IFERROR(VLOOKUP(SortedTimeline[经过排序的排名],ProjectTimelineData[],5,0),"")</f>
        <v/>
      </c>
    </row>
    <row r="140" spans="5:16" x14ac:dyDescent="0.3">
      <c r="E140" s="3" t="str">
        <f ca="1">IFERROR(RANK(F140,ProjectTimelineData[排名])+SUMPRODUCT(--(F140=ProjectTimelineData[排名]),--(J140&lt;ProjectTimelineData[NUM])),"")</f>
        <v/>
      </c>
      <c r="F140" s="3" t="str">
        <f ca="1">IFERROR(RANK(ProjectTimelineData[[#This Row],[日期]],ProjectTimelineData[日期],1),"")</f>
        <v/>
      </c>
      <c r="G140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40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40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40" s="2" t="str">
        <f ca="1">IFERROR(IF(ISBLANK(INDEX(ProjectDetails[#Data],ROW(A135)+1,1)),"",IF($J139-1&lt;=-1,"",$J139-1)),"")</f>
        <v/>
      </c>
      <c r="M140" s="3" t="str">
        <f ca="1">IFERROR(ProjectTimelineData[NUM]+1,"")</f>
        <v/>
      </c>
      <c r="N140" s="6" t="str">
        <f ca="1">IFERROR(VLOOKUP(SortedTimeline[经过排序的排名],ProjectTimelineData[],3,0),"")</f>
        <v/>
      </c>
      <c r="O140" s="2" t="str">
        <f ca="1">IFERROR(VLOOKUP(SortedTimeline[经过排序的排名],ProjectTimelineData[],4,0),"")</f>
        <v/>
      </c>
      <c r="P140" s="2" t="str">
        <f ca="1">IFERROR(VLOOKUP(SortedTimeline[经过排序的排名],ProjectTimelineData[],5,0),"")</f>
        <v/>
      </c>
    </row>
    <row r="141" spans="5:16" x14ac:dyDescent="0.3">
      <c r="E141" s="3" t="str">
        <f ca="1">IFERROR(RANK(F141,ProjectTimelineData[排名])+SUMPRODUCT(--(F141=ProjectTimelineData[排名]),--(J141&lt;ProjectTimelineData[NUM])),"")</f>
        <v/>
      </c>
      <c r="F141" s="3" t="str">
        <f ca="1">IFERROR(RANK(ProjectTimelineData[[#This Row],[日期]],ProjectTimelineData[日期],1),"")</f>
        <v/>
      </c>
      <c r="G141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41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41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41" s="2" t="str">
        <f ca="1">IFERROR(IF(ISBLANK(INDEX(ProjectDetails[#Data],ROW(A136)+1,1)),"",IF($J140-1&lt;=-1,"",$J140-1)),"")</f>
        <v/>
      </c>
      <c r="M141" s="3" t="str">
        <f ca="1">IFERROR(ProjectTimelineData[NUM]+1,"")</f>
        <v/>
      </c>
      <c r="N141" s="6" t="str">
        <f ca="1">IFERROR(VLOOKUP(SortedTimeline[经过排序的排名],ProjectTimelineData[],3,0),"")</f>
        <v/>
      </c>
      <c r="O141" s="2" t="str">
        <f ca="1">IFERROR(VLOOKUP(SortedTimeline[经过排序的排名],ProjectTimelineData[],4,0),"")</f>
        <v/>
      </c>
      <c r="P141" s="2" t="str">
        <f ca="1">IFERROR(VLOOKUP(SortedTimeline[经过排序的排名],ProjectTimelineData[],5,0),"")</f>
        <v/>
      </c>
    </row>
    <row r="142" spans="5:16" x14ac:dyDescent="0.3">
      <c r="E142" s="3" t="str">
        <f ca="1">IFERROR(RANK(F142,ProjectTimelineData[排名])+SUMPRODUCT(--(F142=ProjectTimelineData[排名]),--(J142&lt;ProjectTimelineData[NUM])),"")</f>
        <v/>
      </c>
      <c r="F142" s="3" t="str">
        <f ca="1">IFERROR(RANK(ProjectTimelineData[[#This Row],[日期]],ProjectTimelineData[日期],1),"")</f>
        <v/>
      </c>
      <c r="G142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42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42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42" s="2" t="str">
        <f ca="1">IFERROR(IF(ISBLANK(INDEX(ProjectDetails[#Data],ROW(A137)+1,1)),"",IF($J141-1&lt;=-1,"",$J141-1)),"")</f>
        <v/>
      </c>
      <c r="M142" s="3" t="str">
        <f ca="1">IFERROR(ProjectTimelineData[NUM]+1,"")</f>
        <v/>
      </c>
      <c r="N142" s="6" t="str">
        <f ca="1">IFERROR(VLOOKUP(SortedTimeline[经过排序的排名],ProjectTimelineData[],3,0),"")</f>
        <v/>
      </c>
      <c r="O142" s="2" t="str">
        <f ca="1">IFERROR(VLOOKUP(SortedTimeline[经过排序的排名],ProjectTimelineData[],4,0),"")</f>
        <v/>
      </c>
      <c r="P142" s="2" t="str">
        <f ca="1">IFERROR(VLOOKUP(SortedTimeline[经过排序的排名],ProjectTimelineData[],5,0),"")</f>
        <v/>
      </c>
    </row>
    <row r="143" spans="5:16" x14ac:dyDescent="0.3">
      <c r="E143" s="3" t="str">
        <f ca="1">IFERROR(RANK(F143,ProjectTimelineData[排名])+SUMPRODUCT(--(F143=ProjectTimelineData[排名]),--(J143&lt;ProjectTimelineData[NUM])),"")</f>
        <v/>
      </c>
      <c r="F143" s="3" t="str">
        <f ca="1">IFERROR(RANK(ProjectTimelineData[[#This Row],[日期]],ProjectTimelineData[日期],1),"")</f>
        <v/>
      </c>
      <c r="G143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43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43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43" s="2" t="str">
        <f ca="1">IFERROR(IF(ISBLANK(INDEX(ProjectDetails[#Data],ROW(A138)+1,1)),"",IF($J142-1&lt;=-1,"",$J142-1)),"")</f>
        <v/>
      </c>
      <c r="M143" s="3" t="str">
        <f ca="1">IFERROR(ProjectTimelineData[NUM]+1,"")</f>
        <v/>
      </c>
      <c r="N143" s="6" t="str">
        <f ca="1">IFERROR(VLOOKUP(SortedTimeline[经过排序的排名],ProjectTimelineData[],3,0),"")</f>
        <v/>
      </c>
      <c r="O143" s="2" t="str">
        <f ca="1">IFERROR(VLOOKUP(SortedTimeline[经过排序的排名],ProjectTimelineData[],4,0),"")</f>
        <v/>
      </c>
      <c r="P143" s="2" t="str">
        <f ca="1">IFERROR(VLOOKUP(SortedTimeline[经过排序的排名],ProjectTimelineData[],5,0),"")</f>
        <v/>
      </c>
    </row>
    <row r="144" spans="5:16" x14ac:dyDescent="0.3">
      <c r="E144" s="3" t="str">
        <f ca="1">IFERROR(RANK(F144,ProjectTimelineData[排名])+SUMPRODUCT(--(F144=ProjectTimelineData[排名]),--(J144&lt;ProjectTimelineData[NUM])),"")</f>
        <v/>
      </c>
      <c r="F144" s="3" t="str">
        <f ca="1">IFERROR(RANK(ProjectTimelineData[[#This Row],[日期]],ProjectTimelineData[日期],1),"")</f>
        <v/>
      </c>
      <c r="G144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44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44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44" s="2" t="str">
        <f ca="1">IFERROR(IF(ISBLANK(INDEX(ProjectDetails[#Data],ROW(A139)+1,1)),"",IF($J143-1&lt;=-1,"",$J143-1)),"")</f>
        <v/>
      </c>
      <c r="M144" s="3" t="str">
        <f ca="1">IFERROR(ProjectTimelineData[NUM]+1,"")</f>
        <v/>
      </c>
      <c r="N144" s="6" t="str">
        <f ca="1">IFERROR(VLOOKUP(SortedTimeline[经过排序的排名],ProjectTimelineData[],3,0),"")</f>
        <v/>
      </c>
      <c r="O144" s="2" t="str">
        <f ca="1">IFERROR(VLOOKUP(SortedTimeline[经过排序的排名],ProjectTimelineData[],4,0),"")</f>
        <v/>
      </c>
      <c r="P144" s="2" t="str">
        <f ca="1">IFERROR(VLOOKUP(SortedTimeline[经过排序的排名],ProjectTimelineData[],5,0),"")</f>
        <v/>
      </c>
    </row>
    <row r="145" spans="5:16" x14ac:dyDescent="0.3">
      <c r="E145" s="3" t="str">
        <f ca="1">IFERROR(RANK(F145,ProjectTimelineData[排名])+SUMPRODUCT(--(F145=ProjectTimelineData[排名]),--(J145&lt;ProjectTimelineData[NUM])),"")</f>
        <v/>
      </c>
      <c r="F145" s="3" t="str">
        <f ca="1">IFERROR(RANK(ProjectTimelineData[[#This Row],[日期]],ProjectTimelineData[日期],1),"")</f>
        <v/>
      </c>
      <c r="G145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45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45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45" s="2" t="str">
        <f ca="1">IFERROR(IF(ISBLANK(INDEX(ProjectDetails[#Data],ROW(A140)+1,1)),"",IF($J144-1&lt;=-1,"",$J144-1)),"")</f>
        <v/>
      </c>
      <c r="M145" s="3" t="str">
        <f ca="1">IFERROR(ProjectTimelineData[NUM]+1,"")</f>
        <v/>
      </c>
      <c r="N145" s="6" t="str">
        <f ca="1">IFERROR(VLOOKUP(SortedTimeline[经过排序的排名],ProjectTimelineData[],3,0),"")</f>
        <v/>
      </c>
      <c r="O145" s="2" t="str">
        <f ca="1">IFERROR(VLOOKUP(SortedTimeline[经过排序的排名],ProjectTimelineData[],4,0),"")</f>
        <v/>
      </c>
      <c r="P145" s="2" t="str">
        <f ca="1">IFERROR(VLOOKUP(SortedTimeline[经过排序的排名],ProjectTimelineData[],5,0),"")</f>
        <v/>
      </c>
    </row>
    <row r="146" spans="5:16" x14ac:dyDescent="0.3">
      <c r="E146" s="3" t="str">
        <f ca="1">IFERROR(RANK(F146,ProjectTimelineData[排名])+SUMPRODUCT(--(F146=ProjectTimelineData[排名]),--(J146&lt;ProjectTimelineData[NUM])),"")</f>
        <v/>
      </c>
      <c r="F146" s="3" t="str">
        <f ca="1">IFERROR(RANK(ProjectTimelineData[[#This Row],[日期]],ProjectTimelineData[日期],1),"")</f>
        <v/>
      </c>
      <c r="G146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4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46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46" s="2" t="str">
        <f ca="1">IFERROR(IF(ISBLANK(INDEX(ProjectDetails[#Data],ROW(A141)+1,1)),"",IF($J145-1&lt;=-1,"",$J145-1)),"")</f>
        <v/>
      </c>
      <c r="M146" s="3" t="str">
        <f ca="1">IFERROR(ProjectTimelineData[NUM]+1,"")</f>
        <v/>
      </c>
      <c r="N146" s="6" t="str">
        <f ca="1">IFERROR(VLOOKUP(SortedTimeline[经过排序的排名],ProjectTimelineData[],3,0),"")</f>
        <v/>
      </c>
      <c r="O146" s="2" t="str">
        <f ca="1">IFERROR(VLOOKUP(SortedTimeline[经过排序的排名],ProjectTimelineData[],4,0),"")</f>
        <v/>
      </c>
      <c r="P146" s="2" t="str">
        <f ca="1">IFERROR(VLOOKUP(SortedTimeline[经过排序的排名],ProjectTimelineData[],5,0),"")</f>
        <v/>
      </c>
    </row>
    <row r="147" spans="5:16" x14ac:dyDescent="0.3">
      <c r="E147" s="3" t="str">
        <f ca="1">IFERROR(RANK(F147,ProjectTimelineData[排名])+SUMPRODUCT(--(F147=ProjectTimelineData[排名]),--(J147&lt;ProjectTimelineData[NUM])),"")</f>
        <v/>
      </c>
      <c r="F147" s="3" t="str">
        <f ca="1">IFERROR(RANK(ProjectTimelineData[[#This Row],[日期]],ProjectTimelineData[日期],1),"")</f>
        <v/>
      </c>
      <c r="G147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4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47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47" s="2" t="str">
        <f ca="1">IFERROR(IF(ISBLANK(INDEX(ProjectDetails[#Data],ROW(A142)+1,1)),"",IF($J146-1&lt;=-1,"",$J146-1)),"")</f>
        <v/>
      </c>
      <c r="M147" s="3" t="str">
        <f ca="1">IFERROR(ProjectTimelineData[NUM]+1,"")</f>
        <v/>
      </c>
      <c r="N147" s="6" t="str">
        <f ca="1">IFERROR(VLOOKUP(SortedTimeline[经过排序的排名],ProjectTimelineData[],3,0),"")</f>
        <v/>
      </c>
      <c r="O147" s="2" t="str">
        <f ca="1">IFERROR(VLOOKUP(SortedTimeline[经过排序的排名],ProjectTimelineData[],4,0),"")</f>
        <v/>
      </c>
      <c r="P147" s="2" t="str">
        <f ca="1">IFERROR(VLOOKUP(SortedTimeline[经过排序的排名],ProjectTimelineData[],5,0),"")</f>
        <v/>
      </c>
    </row>
    <row r="148" spans="5:16" x14ac:dyDescent="0.3">
      <c r="E148" s="3" t="str">
        <f ca="1">IFERROR(RANK(F148,ProjectTimelineData[排名])+SUMPRODUCT(--(F148=ProjectTimelineData[排名]),--(J148&lt;ProjectTimelineData[NUM])),"")</f>
        <v/>
      </c>
      <c r="F148" s="3" t="str">
        <f ca="1">IFERROR(RANK(ProjectTimelineData[[#This Row],[日期]],ProjectTimelineData[日期],1),"")</f>
        <v/>
      </c>
      <c r="G148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4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48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48" s="2" t="str">
        <f ca="1">IFERROR(IF(ISBLANK(INDEX(ProjectDetails[#Data],ROW(A143)+1,1)),"",IF($J147-1&lt;=-1,"",$J147-1)),"")</f>
        <v/>
      </c>
      <c r="M148" s="3" t="str">
        <f ca="1">IFERROR(ProjectTimelineData[NUM]+1,"")</f>
        <v/>
      </c>
      <c r="N148" s="6" t="str">
        <f ca="1">IFERROR(VLOOKUP(SortedTimeline[经过排序的排名],ProjectTimelineData[],3,0),"")</f>
        <v/>
      </c>
      <c r="O148" s="2" t="str">
        <f ca="1">IFERROR(VLOOKUP(SortedTimeline[经过排序的排名],ProjectTimelineData[],4,0),"")</f>
        <v/>
      </c>
      <c r="P148" s="2" t="str">
        <f ca="1">IFERROR(VLOOKUP(SortedTimeline[经过排序的排名],ProjectTimelineData[],5,0),"")</f>
        <v/>
      </c>
    </row>
    <row r="149" spans="5:16" x14ac:dyDescent="0.3">
      <c r="E149" s="3" t="str">
        <f ca="1">IFERROR(RANK(F149,ProjectTimelineData[排名])+SUMPRODUCT(--(F149=ProjectTimelineData[排名]),--(J149&lt;ProjectTimelineData[NUM])),"")</f>
        <v/>
      </c>
      <c r="F149" s="3" t="str">
        <f ca="1">IFERROR(RANK(ProjectTimelineData[[#This Row],[日期]],ProjectTimelineData[日期],1),"")</f>
        <v/>
      </c>
      <c r="G149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4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49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49" s="2" t="str">
        <f ca="1">IFERROR(IF(ISBLANK(INDEX(ProjectDetails[#Data],ROW(A144)+1,1)),"",IF($J148-1&lt;=-1,"",$J148-1)),"")</f>
        <v/>
      </c>
      <c r="M149" s="3" t="str">
        <f ca="1">IFERROR(ProjectTimelineData[NUM]+1,"")</f>
        <v/>
      </c>
      <c r="N149" s="6" t="str">
        <f ca="1">IFERROR(VLOOKUP(SortedTimeline[经过排序的排名],ProjectTimelineData[],3,0),"")</f>
        <v/>
      </c>
      <c r="O149" s="2" t="str">
        <f ca="1">IFERROR(VLOOKUP(SortedTimeline[经过排序的排名],ProjectTimelineData[],4,0),"")</f>
        <v/>
      </c>
      <c r="P149" s="2" t="str">
        <f ca="1">IFERROR(VLOOKUP(SortedTimeline[经过排序的排名],ProjectTimelineData[],5,0),"")</f>
        <v/>
      </c>
    </row>
    <row r="150" spans="5:16" x14ac:dyDescent="0.3">
      <c r="E150" s="3" t="str">
        <f ca="1">IFERROR(RANK(F150,ProjectTimelineData[排名])+SUMPRODUCT(--(F150=ProjectTimelineData[排名]),--(J150&lt;ProjectTimelineData[NUM])),"")</f>
        <v/>
      </c>
      <c r="F150" s="3" t="str">
        <f ca="1">IFERROR(RANK(ProjectTimelineData[[#This Row],[日期]],ProjectTimelineData[日期],1),"")</f>
        <v/>
      </c>
      <c r="G150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50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50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50" s="2" t="str">
        <f ca="1">IFERROR(IF(ISBLANK(INDEX(ProjectDetails[#Data],ROW(A145)+1,1)),"",IF($J149-1&lt;=-1,"",$J149-1)),"")</f>
        <v/>
      </c>
      <c r="M150" s="3" t="str">
        <f ca="1">IFERROR(ProjectTimelineData[NUM]+1,"")</f>
        <v/>
      </c>
      <c r="N150" s="6" t="str">
        <f ca="1">IFERROR(VLOOKUP(SortedTimeline[经过排序的排名],ProjectTimelineData[],3,0),"")</f>
        <v/>
      </c>
      <c r="O150" s="2" t="str">
        <f ca="1">IFERROR(VLOOKUP(SortedTimeline[经过排序的排名],ProjectTimelineData[],4,0),"")</f>
        <v/>
      </c>
      <c r="P150" s="2" t="str">
        <f ca="1">IFERROR(VLOOKUP(SortedTimeline[经过排序的排名],ProjectTimelineData[],5,0),"")</f>
        <v/>
      </c>
    </row>
    <row r="151" spans="5:16" x14ac:dyDescent="0.3">
      <c r="E151" s="3" t="str">
        <f ca="1">IFERROR(RANK(F151,ProjectTimelineData[排名])+SUMPRODUCT(--(F151=ProjectTimelineData[排名]),--(J151&lt;ProjectTimelineData[NUM])),"")</f>
        <v/>
      </c>
      <c r="F151" s="3" t="str">
        <f ca="1">IFERROR(RANK(ProjectTimelineData[[#This Row],[日期]],ProjectTimelineData[日期],1),"")</f>
        <v/>
      </c>
      <c r="G151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51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51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51" s="2" t="str">
        <f ca="1">IFERROR(IF(ISBLANK(INDEX(ProjectDetails[#Data],ROW(A146)+1,1)),"",IF($J150-1&lt;=-1,"",$J150-1)),"")</f>
        <v/>
      </c>
      <c r="M151" s="3" t="str">
        <f ca="1">IFERROR(ProjectTimelineData[NUM]+1,"")</f>
        <v/>
      </c>
      <c r="N151" s="6" t="str">
        <f ca="1">IFERROR(VLOOKUP(SortedTimeline[经过排序的排名],ProjectTimelineData[],3,0),"")</f>
        <v/>
      </c>
      <c r="O151" s="2" t="str">
        <f ca="1">IFERROR(VLOOKUP(SortedTimeline[经过排序的排名],ProjectTimelineData[],4,0),"")</f>
        <v/>
      </c>
      <c r="P151" s="2" t="str">
        <f ca="1">IFERROR(VLOOKUP(SortedTimeline[经过排序的排名],ProjectTimelineData[],5,0),"")</f>
        <v/>
      </c>
    </row>
    <row r="152" spans="5:16" x14ac:dyDescent="0.3">
      <c r="E152" s="3" t="str">
        <f ca="1">IFERROR(RANK(F152,ProjectTimelineData[排名])+SUMPRODUCT(--(F152=ProjectTimelineData[排名]),--(J152&lt;ProjectTimelineData[NUM])),"")</f>
        <v/>
      </c>
      <c r="F152" s="3" t="str">
        <f ca="1">IFERROR(RANK(ProjectTimelineData[[#This Row],[日期]],ProjectTimelineData[日期],1),"")</f>
        <v/>
      </c>
      <c r="G152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52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52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52" s="2" t="str">
        <f ca="1">IFERROR(IF(ISBLANK(INDEX(ProjectDetails[#Data],ROW(A147)+1,1)),"",IF($J151-1&lt;=-1,"",$J151-1)),"")</f>
        <v/>
      </c>
      <c r="M152" s="3" t="str">
        <f ca="1">IFERROR(ProjectTimelineData[NUM]+1,"")</f>
        <v/>
      </c>
      <c r="N152" s="6" t="str">
        <f ca="1">IFERROR(VLOOKUP(SortedTimeline[经过排序的排名],ProjectTimelineData[],3,0),"")</f>
        <v/>
      </c>
      <c r="O152" s="2" t="str">
        <f ca="1">IFERROR(VLOOKUP(SortedTimeline[经过排序的排名],ProjectTimelineData[],4,0),"")</f>
        <v/>
      </c>
      <c r="P152" s="2" t="str">
        <f ca="1">IFERROR(VLOOKUP(SortedTimeline[经过排序的排名],ProjectTimelineData[],5,0),"")</f>
        <v/>
      </c>
    </row>
    <row r="153" spans="5:16" x14ac:dyDescent="0.3">
      <c r="E153" s="3" t="str">
        <f ca="1">IFERROR(RANK(F153,ProjectTimelineData[排名])+SUMPRODUCT(--(F153=ProjectTimelineData[排名]),--(J153&lt;ProjectTimelineData[NUM])),"")</f>
        <v/>
      </c>
      <c r="F153" s="3" t="str">
        <f ca="1">IFERROR(RANK(ProjectTimelineData[[#This Row],[日期]],ProjectTimelineData[日期],1),"")</f>
        <v/>
      </c>
      <c r="G153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53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53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53" s="2" t="str">
        <f ca="1">IFERROR(IF(ISBLANK(INDEX(ProjectDetails[#Data],ROW(A148)+1,1)),"",IF($J152-1&lt;=-1,"",$J152-1)),"")</f>
        <v/>
      </c>
      <c r="M153" s="3" t="str">
        <f ca="1">IFERROR(ProjectTimelineData[NUM]+1,"")</f>
        <v/>
      </c>
      <c r="N153" s="6" t="str">
        <f ca="1">IFERROR(VLOOKUP(SortedTimeline[经过排序的排名],ProjectTimelineData[],3,0),"")</f>
        <v/>
      </c>
      <c r="O153" s="2" t="str">
        <f ca="1">IFERROR(VLOOKUP(SortedTimeline[经过排序的排名],ProjectTimelineData[],4,0),"")</f>
        <v/>
      </c>
      <c r="P153" s="2" t="str">
        <f ca="1">IFERROR(VLOOKUP(SortedTimeline[经过排序的排名],ProjectTimelineData[],5,0),"")</f>
        <v/>
      </c>
    </row>
    <row r="154" spans="5:16" x14ac:dyDescent="0.3">
      <c r="E154" s="3" t="str">
        <f ca="1">IFERROR(RANK(F154,ProjectTimelineData[排名])+SUMPRODUCT(--(F154=ProjectTimelineData[排名]),--(J154&lt;ProjectTimelineData[NUM])),"")</f>
        <v/>
      </c>
      <c r="F154" s="3" t="str">
        <f ca="1">IFERROR(RANK(ProjectTimelineData[[#This Row],[日期]],ProjectTimelineData[日期],1),"")</f>
        <v/>
      </c>
      <c r="G154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54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54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54" s="2" t="str">
        <f ca="1">IFERROR(IF(ISBLANK(INDEX(ProjectDetails[#Data],ROW(A149)+1,1)),"",IF($J153-1&lt;=-1,"",$J153-1)),"")</f>
        <v/>
      </c>
      <c r="M154" s="3" t="str">
        <f ca="1">IFERROR(ProjectTimelineData[NUM]+1,"")</f>
        <v/>
      </c>
      <c r="N154" s="6" t="str">
        <f ca="1">IFERROR(VLOOKUP(SortedTimeline[经过排序的排名],ProjectTimelineData[],3,0),"")</f>
        <v/>
      </c>
      <c r="O154" s="2" t="str">
        <f ca="1">IFERROR(VLOOKUP(SortedTimeline[经过排序的排名],ProjectTimelineData[],4,0),"")</f>
        <v/>
      </c>
      <c r="P154" s="2" t="str">
        <f ca="1">IFERROR(VLOOKUP(SortedTimeline[经过排序的排名],ProjectTimelineData[],5,0),"")</f>
        <v/>
      </c>
    </row>
    <row r="155" spans="5:16" x14ac:dyDescent="0.3">
      <c r="E155" s="3" t="str">
        <f ca="1">IFERROR(RANK(F155,ProjectTimelineData[排名])+SUMPRODUCT(--(F155=ProjectTimelineData[排名]),--(J155&lt;ProjectTimelineData[NUM])),"")</f>
        <v/>
      </c>
      <c r="F155" s="3" t="str">
        <f ca="1">IFERROR(RANK(ProjectTimelineData[[#This Row],[日期]],ProjectTimelineData[日期],1),"")</f>
        <v/>
      </c>
      <c r="G155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55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55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55" s="2" t="str">
        <f ca="1">IFERROR(IF(ISBLANK(INDEX(ProjectDetails[#Data],ROW(A150)+1,1)),"",IF($J154-1&lt;=-1,"",$J154-1)),"")</f>
        <v/>
      </c>
      <c r="M155" s="3" t="str">
        <f ca="1">IFERROR(ProjectTimelineData[NUM]+1,"")</f>
        <v/>
      </c>
      <c r="N155" s="6" t="str">
        <f ca="1">IFERROR(VLOOKUP(SortedTimeline[经过排序的排名],ProjectTimelineData[],3,0),"")</f>
        <v/>
      </c>
      <c r="O155" s="2" t="str">
        <f ca="1">IFERROR(VLOOKUP(SortedTimeline[经过排序的排名],ProjectTimelineData[],4,0),"")</f>
        <v/>
      </c>
      <c r="P155" s="2" t="str">
        <f ca="1">IFERROR(VLOOKUP(SortedTimeline[经过排序的排名],ProjectTimelineData[],5,0),"")</f>
        <v/>
      </c>
    </row>
    <row r="156" spans="5:16" x14ac:dyDescent="0.3">
      <c r="E156" s="3" t="str">
        <f ca="1">IFERROR(RANK(F156,ProjectTimelineData[排名])+SUMPRODUCT(--(F156=ProjectTimelineData[排名]),--(J156&lt;ProjectTimelineData[NUM])),"")</f>
        <v/>
      </c>
      <c r="F156" s="3" t="str">
        <f ca="1">IFERROR(RANK(ProjectTimelineData[[#This Row],[日期]],ProjectTimelineData[日期],1),"")</f>
        <v/>
      </c>
      <c r="G156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5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56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56" s="2" t="str">
        <f ca="1">IFERROR(IF(ISBLANK(INDEX(ProjectDetails[#Data],ROW(A151)+1,1)),"",IF($J155-1&lt;=-1,"",$J155-1)),"")</f>
        <v/>
      </c>
      <c r="M156" s="3" t="str">
        <f ca="1">IFERROR(ProjectTimelineData[NUM]+1,"")</f>
        <v/>
      </c>
      <c r="N156" s="6" t="str">
        <f ca="1">IFERROR(VLOOKUP(SortedTimeline[经过排序的排名],ProjectTimelineData[],3,0),"")</f>
        <v/>
      </c>
      <c r="O156" s="2" t="str">
        <f ca="1">IFERROR(VLOOKUP(SortedTimeline[经过排序的排名],ProjectTimelineData[],4,0),"")</f>
        <v/>
      </c>
      <c r="P156" s="2" t="str">
        <f ca="1">IFERROR(VLOOKUP(SortedTimeline[经过排序的排名],ProjectTimelineData[],5,0),"")</f>
        <v/>
      </c>
    </row>
    <row r="157" spans="5:16" x14ac:dyDescent="0.3">
      <c r="E157" s="3" t="str">
        <f ca="1">IFERROR(RANK(F157,ProjectTimelineData[排名])+SUMPRODUCT(--(F157=ProjectTimelineData[排名]),--(J157&lt;ProjectTimelineData[NUM])),"")</f>
        <v/>
      </c>
      <c r="F157" s="3" t="str">
        <f ca="1">IFERROR(RANK(ProjectTimelineData[[#This Row],[日期]],ProjectTimelineData[日期],1),"")</f>
        <v/>
      </c>
      <c r="G157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5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57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57" s="2" t="str">
        <f ca="1">IFERROR(IF(ISBLANK(INDEX(ProjectDetails[#Data],ROW(A152)+1,1)),"",IF($J156-1&lt;=-1,"",$J156-1)),"")</f>
        <v/>
      </c>
      <c r="M157" s="3" t="str">
        <f ca="1">IFERROR(ProjectTimelineData[NUM]+1,"")</f>
        <v/>
      </c>
      <c r="N157" s="6" t="str">
        <f ca="1">IFERROR(VLOOKUP(SortedTimeline[经过排序的排名],ProjectTimelineData[],3,0),"")</f>
        <v/>
      </c>
      <c r="O157" s="2" t="str">
        <f ca="1">IFERROR(VLOOKUP(SortedTimeline[经过排序的排名],ProjectTimelineData[],4,0),"")</f>
        <v/>
      </c>
      <c r="P157" s="2" t="str">
        <f ca="1">IFERROR(VLOOKUP(SortedTimeline[经过排序的排名],ProjectTimelineData[],5,0),"")</f>
        <v/>
      </c>
    </row>
    <row r="158" spans="5:16" x14ac:dyDescent="0.3">
      <c r="E158" s="3" t="str">
        <f ca="1">IFERROR(RANK(F158,ProjectTimelineData[排名])+SUMPRODUCT(--(F158=ProjectTimelineData[排名]),--(J158&lt;ProjectTimelineData[NUM])),"")</f>
        <v/>
      </c>
      <c r="F158" s="3" t="str">
        <f ca="1">IFERROR(RANK(ProjectTimelineData[[#This Row],[日期]],ProjectTimelineData[日期],1),"")</f>
        <v/>
      </c>
      <c r="G158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5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58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58" s="2" t="str">
        <f ca="1">IFERROR(IF(ISBLANK(INDEX(ProjectDetails[#Data],ROW(A153)+1,1)),"",IF($J157-1&lt;=-1,"",$J157-1)),"")</f>
        <v/>
      </c>
      <c r="M158" s="3" t="str">
        <f ca="1">IFERROR(ProjectTimelineData[NUM]+1,"")</f>
        <v/>
      </c>
      <c r="N158" s="6" t="str">
        <f ca="1">IFERROR(VLOOKUP(SortedTimeline[经过排序的排名],ProjectTimelineData[],3,0),"")</f>
        <v/>
      </c>
      <c r="O158" s="2" t="str">
        <f ca="1">IFERROR(VLOOKUP(SortedTimeline[经过排序的排名],ProjectTimelineData[],4,0),"")</f>
        <v/>
      </c>
      <c r="P158" s="2" t="str">
        <f ca="1">IFERROR(VLOOKUP(SortedTimeline[经过排序的排名],ProjectTimelineData[],5,0),"")</f>
        <v/>
      </c>
    </row>
    <row r="159" spans="5:16" x14ac:dyDescent="0.3">
      <c r="E159" s="3" t="str">
        <f ca="1">IFERROR(RANK(F159,ProjectTimelineData[排名])+SUMPRODUCT(--(F159=ProjectTimelineData[排名]),--(J159&lt;ProjectTimelineData[NUM])),"")</f>
        <v/>
      </c>
      <c r="F159" s="3" t="str">
        <f ca="1">IFERROR(RANK(ProjectTimelineData[[#This Row],[日期]],ProjectTimelineData[日期],1),"")</f>
        <v/>
      </c>
      <c r="G159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5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59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59" s="2" t="str">
        <f ca="1">IFERROR(IF(ISBLANK(INDEX(ProjectDetails[#Data],ROW(A154)+1,1)),"",IF($J158-1&lt;=-1,"",$J158-1)),"")</f>
        <v/>
      </c>
      <c r="M159" s="3" t="str">
        <f ca="1">IFERROR(ProjectTimelineData[NUM]+1,"")</f>
        <v/>
      </c>
      <c r="N159" s="6" t="str">
        <f ca="1">IFERROR(VLOOKUP(SortedTimeline[经过排序的排名],ProjectTimelineData[],3,0),"")</f>
        <v/>
      </c>
      <c r="O159" s="2" t="str">
        <f ca="1">IFERROR(VLOOKUP(SortedTimeline[经过排序的排名],ProjectTimelineData[],4,0),"")</f>
        <v/>
      </c>
      <c r="P159" s="2" t="str">
        <f ca="1">IFERROR(VLOOKUP(SortedTimeline[经过排序的排名],ProjectTimelineData[],5,0),"")</f>
        <v/>
      </c>
    </row>
    <row r="160" spans="5:16" x14ac:dyDescent="0.3">
      <c r="E160" s="3" t="str">
        <f ca="1">IFERROR(RANK(F160,ProjectTimelineData[排名])+SUMPRODUCT(--(F160=ProjectTimelineData[排名]),--(J160&lt;ProjectTimelineData[NUM])),"")</f>
        <v/>
      </c>
      <c r="F160" s="3" t="str">
        <f ca="1">IFERROR(RANK(ProjectTimelineData[[#This Row],[日期]],ProjectTimelineData[日期],1),"")</f>
        <v/>
      </c>
      <c r="G160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60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60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60" s="2" t="str">
        <f ca="1">IFERROR(IF(ISBLANK(INDEX(ProjectDetails[#Data],ROW(A155)+1,1)),"",IF($J159-1&lt;=-1,"",$J159-1)),"")</f>
        <v/>
      </c>
      <c r="M160" s="3" t="str">
        <f ca="1">IFERROR(ProjectTimelineData[NUM]+1,"")</f>
        <v/>
      </c>
      <c r="N160" s="6" t="str">
        <f ca="1">IFERROR(VLOOKUP(SortedTimeline[经过排序的排名],ProjectTimelineData[],3,0),"")</f>
        <v/>
      </c>
      <c r="O160" s="2" t="str">
        <f ca="1">IFERROR(VLOOKUP(SortedTimeline[经过排序的排名],ProjectTimelineData[],4,0),"")</f>
        <v/>
      </c>
      <c r="P160" s="2" t="str">
        <f ca="1">IFERROR(VLOOKUP(SortedTimeline[经过排序的排名],ProjectTimelineData[],5,0),"")</f>
        <v/>
      </c>
    </row>
    <row r="161" spans="5:16" x14ac:dyDescent="0.3">
      <c r="E161" s="3" t="str">
        <f ca="1">IFERROR(RANK(F161,ProjectTimelineData[排名])+SUMPRODUCT(--(F161=ProjectTimelineData[排名]),--(J161&lt;ProjectTimelineData[NUM])),"")</f>
        <v/>
      </c>
      <c r="F161" s="3" t="str">
        <f ca="1">IFERROR(RANK(ProjectTimelineData[[#This Row],[日期]],ProjectTimelineData[日期],1),"")</f>
        <v/>
      </c>
      <c r="G161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61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61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61" s="2" t="str">
        <f ca="1">IFERROR(IF(ISBLANK(INDEX(ProjectDetails[#Data],ROW(A156)+1,1)),"",IF($J160-1&lt;=-1,"",$J160-1)),"")</f>
        <v/>
      </c>
      <c r="M161" s="3" t="str">
        <f ca="1">IFERROR(ProjectTimelineData[NUM]+1,"")</f>
        <v/>
      </c>
      <c r="N161" s="6" t="str">
        <f ca="1">IFERROR(VLOOKUP(SortedTimeline[经过排序的排名],ProjectTimelineData[],3,0),"")</f>
        <v/>
      </c>
      <c r="O161" s="2" t="str">
        <f ca="1">IFERROR(VLOOKUP(SortedTimeline[经过排序的排名],ProjectTimelineData[],4,0),"")</f>
        <v/>
      </c>
      <c r="P161" s="2" t="str">
        <f ca="1">IFERROR(VLOOKUP(SortedTimeline[经过排序的排名],ProjectTimelineData[],5,0),"")</f>
        <v/>
      </c>
    </row>
    <row r="162" spans="5:16" x14ac:dyDescent="0.3">
      <c r="E162" s="3" t="str">
        <f ca="1">IFERROR(RANK(F162,ProjectTimelineData[排名])+SUMPRODUCT(--(F162=ProjectTimelineData[排名]),--(J162&lt;ProjectTimelineData[NUM])),"")</f>
        <v/>
      </c>
      <c r="F162" s="3" t="str">
        <f ca="1">IFERROR(RANK(ProjectTimelineData[[#This Row],[日期]],ProjectTimelineData[日期],1),"")</f>
        <v/>
      </c>
      <c r="G162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62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62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62" s="2" t="str">
        <f ca="1">IFERROR(IF(ISBLANK(INDEX(ProjectDetails[#Data],ROW(A157)+1,1)),"",IF($J161-1&lt;=-1,"",$J161-1)),"")</f>
        <v/>
      </c>
      <c r="M162" s="3" t="str">
        <f ca="1">IFERROR(ProjectTimelineData[NUM]+1,"")</f>
        <v/>
      </c>
      <c r="N162" s="6" t="str">
        <f ca="1">IFERROR(VLOOKUP(SortedTimeline[经过排序的排名],ProjectTimelineData[],3,0),"")</f>
        <v/>
      </c>
      <c r="O162" s="2" t="str">
        <f ca="1">IFERROR(VLOOKUP(SortedTimeline[经过排序的排名],ProjectTimelineData[],4,0),"")</f>
        <v/>
      </c>
      <c r="P162" s="2" t="str">
        <f ca="1">IFERROR(VLOOKUP(SortedTimeline[经过排序的排名],ProjectTimelineData[],5,0),"")</f>
        <v/>
      </c>
    </row>
    <row r="163" spans="5:16" x14ac:dyDescent="0.3">
      <c r="E163" s="3" t="str">
        <f ca="1">IFERROR(RANK(F163,ProjectTimelineData[排名])+SUMPRODUCT(--(F163=ProjectTimelineData[排名]),--(J163&lt;ProjectTimelineData[NUM])),"")</f>
        <v/>
      </c>
      <c r="F163" s="3" t="str">
        <f ca="1">IFERROR(RANK(ProjectTimelineData[[#This Row],[日期]],ProjectTimelineData[日期],1),"")</f>
        <v/>
      </c>
      <c r="G163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63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63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63" s="2" t="str">
        <f ca="1">IFERROR(IF(ISBLANK(INDEX(ProjectDetails[#Data],ROW(A158)+1,1)),"",IF($J162-1&lt;=-1,"",$J162-1)),"")</f>
        <v/>
      </c>
      <c r="M163" s="3" t="str">
        <f ca="1">IFERROR(ProjectTimelineData[NUM]+1,"")</f>
        <v/>
      </c>
      <c r="N163" s="6" t="str">
        <f ca="1">IFERROR(VLOOKUP(SortedTimeline[经过排序的排名],ProjectTimelineData[],3,0),"")</f>
        <v/>
      </c>
      <c r="O163" s="2" t="str">
        <f ca="1">IFERROR(VLOOKUP(SortedTimeline[经过排序的排名],ProjectTimelineData[],4,0),"")</f>
        <v/>
      </c>
      <c r="P163" s="2" t="str">
        <f ca="1">IFERROR(VLOOKUP(SortedTimeline[经过排序的排名],ProjectTimelineData[],5,0),"")</f>
        <v/>
      </c>
    </row>
    <row r="164" spans="5:16" x14ac:dyDescent="0.3">
      <c r="E164" s="3" t="str">
        <f ca="1">IFERROR(RANK(F164,ProjectTimelineData[排名])+SUMPRODUCT(--(F164=ProjectTimelineData[排名]),--(J164&lt;ProjectTimelineData[NUM])),"")</f>
        <v/>
      </c>
      <c r="F164" s="3" t="str">
        <f ca="1">IFERROR(RANK(ProjectTimelineData[[#This Row],[日期]],ProjectTimelineData[日期],1),"")</f>
        <v/>
      </c>
      <c r="G164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64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64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64" s="2" t="str">
        <f ca="1">IFERROR(IF(ISBLANK(INDEX(ProjectDetails[#Data],ROW(A159)+1,1)),"",IF($J163-1&lt;=-1,"",$J163-1)),"")</f>
        <v/>
      </c>
      <c r="M164" s="3" t="str">
        <f ca="1">IFERROR(ProjectTimelineData[NUM]+1,"")</f>
        <v/>
      </c>
      <c r="N164" s="6" t="str">
        <f ca="1">IFERROR(VLOOKUP(SortedTimeline[经过排序的排名],ProjectTimelineData[],3,0),"")</f>
        <v/>
      </c>
      <c r="O164" s="2" t="str">
        <f ca="1">IFERROR(VLOOKUP(SortedTimeline[经过排序的排名],ProjectTimelineData[],4,0),"")</f>
        <v/>
      </c>
      <c r="P164" s="2" t="str">
        <f ca="1">IFERROR(VLOOKUP(SortedTimeline[经过排序的排名],ProjectTimelineData[],5,0),"")</f>
        <v/>
      </c>
    </row>
    <row r="165" spans="5:16" x14ac:dyDescent="0.3">
      <c r="E165" s="3" t="str">
        <f ca="1">IFERROR(RANK(F165,ProjectTimelineData[排名])+SUMPRODUCT(--(F165=ProjectTimelineData[排名]),--(J165&lt;ProjectTimelineData[NUM])),"")</f>
        <v/>
      </c>
      <c r="F165" s="3" t="str">
        <f ca="1">IFERROR(RANK(ProjectTimelineData[[#This Row],[日期]],ProjectTimelineData[日期],1),"")</f>
        <v/>
      </c>
      <c r="G165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65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65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65" s="2" t="str">
        <f ca="1">IFERROR(IF(ISBLANK(INDEX(ProjectDetails[#Data],ROW(A160)+1,1)),"",IF($J164-1&lt;=-1,"",$J164-1)),"")</f>
        <v/>
      </c>
      <c r="M165" s="3" t="str">
        <f ca="1">IFERROR(ProjectTimelineData[NUM]+1,"")</f>
        <v/>
      </c>
      <c r="N165" s="6" t="str">
        <f ca="1">IFERROR(VLOOKUP(SortedTimeline[经过排序的排名],ProjectTimelineData[],3,0),"")</f>
        <v/>
      </c>
      <c r="O165" s="2" t="str">
        <f ca="1">IFERROR(VLOOKUP(SortedTimeline[经过排序的排名],ProjectTimelineData[],4,0),"")</f>
        <v/>
      </c>
      <c r="P165" s="2" t="str">
        <f ca="1">IFERROR(VLOOKUP(SortedTimeline[经过排序的排名],ProjectTimelineData[],5,0),"")</f>
        <v/>
      </c>
    </row>
    <row r="166" spans="5:16" x14ac:dyDescent="0.3">
      <c r="E166" s="3" t="str">
        <f ca="1">IFERROR(RANK(F166,ProjectTimelineData[排名])+SUMPRODUCT(--(F166=ProjectTimelineData[排名]),--(J166&lt;ProjectTimelineData[NUM])),"")</f>
        <v/>
      </c>
      <c r="F166" s="3" t="str">
        <f ca="1">IFERROR(RANK(ProjectTimelineData[[#This Row],[日期]],ProjectTimelineData[日期],1),"")</f>
        <v/>
      </c>
      <c r="G166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6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66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66" s="2" t="str">
        <f ca="1">IFERROR(IF(ISBLANK(INDEX(ProjectDetails[#Data],ROW(A161)+1,1)),"",IF($J165-1&lt;=-1,"",$J165-1)),"")</f>
        <v/>
      </c>
      <c r="M166" s="3" t="str">
        <f ca="1">IFERROR(ProjectTimelineData[NUM]+1,"")</f>
        <v/>
      </c>
      <c r="N166" s="6" t="str">
        <f ca="1">IFERROR(VLOOKUP(SortedTimeline[经过排序的排名],ProjectTimelineData[],3,0),"")</f>
        <v/>
      </c>
      <c r="O166" s="2" t="str">
        <f ca="1">IFERROR(VLOOKUP(SortedTimeline[经过排序的排名],ProjectTimelineData[],4,0),"")</f>
        <v/>
      </c>
      <c r="P166" s="2" t="str">
        <f ca="1">IFERROR(VLOOKUP(SortedTimeline[经过排序的排名],ProjectTimelineData[],5,0),"")</f>
        <v/>
      </c>
    </row>
    <row r="167" spans="5:16" x14ac:dyDescent="0.3">
      <c r="E167" s="3" t="str">
        <f ca="1">IFERROR(RANK(F167,ProjectTimelineData[排名])+SUMPRODUCT(--(F167=ProjectTimelineData[排名]),--(J167&lt;ProjectTimelineData[NUM])),"")</f>
        <v/>
      </c>
      <c r="F167" s="3" t="str">
        <f ca="1">IFERROR(RANK(ProjectTimelineData[[#This Row],[日期]],ProjectTimelineData[日期],1),"")</f>
        <v/>
      </c>
      <c r="G167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6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67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67" s="2" t="str">
        <f ca="1">IFERROR(IF(ISBLANK(INDEX(ProjectDetails[#Data],ROW(A162)+1,1)),"",IF($J166-1&lt;=-1,"",$J166-1)),"")</f>
        <v/>
      </c>
      <c r="M167" s="3" t="str">
        <f ca="1">IFERROR(ProjectTimelineData[NUM]+1,"")</f>
        <v/>
      </c>
      <c r="N167" s="6" t="str">
        <f ca="1">IFERROR(VLOOKUP(SortedTimeline[经过排序的排名],ProjectTimelineData[],3,0),"")</f>
        <v/>
      </c>
      <c r="O167" s="2" t="str">
        <f ca="1">IFERROR(VLOOKUP(SortedTimeline[经过排序的排名],ProjectTimelineData[],4,0),"")</f>
        <v/>
      </c>
      <c r="P167" s="2" t="str">
        <f ca="1">IFERROR(VLOOKUP(SortedTimeline[经过排序的排名],ProjectTimelineData[],5,0),"")</f>
        <v/>
      </c>
    </row>
    <row r="168" spans="5:16" x14ac:dyDescent="0.3">
      <c r="E168" s="3" t="str">
        <f ca="1">IFERROR(RANK(F168,ProjectTimelineData[排名])+SUMPRODUCT(--(F168=ProjectTimelineData[排名]),--(J168&lt;ProjectTimelineData[NUM])),"")</f>
        <v/>
      </c>
      <c r="F168" s="3" t="str">
        <f ca="1">IFERROR(RANK(ProjectTimelineData[[#This Row],[日期]],ProjectTimelineData[日期],1),"")</f>
        <v/>
      </c>
      <c r="G168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6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68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68" s="2" t="str">
        <f ca="1">IFERROR(IF(ISBLANK(INDEX(ProjectDetails[#Data],ROW(A163)+1,1)),"",IF($J167-1&lt;=-1,"",$J167-1)),"")</f>
        <v/>
      </c>
      <c r="M168" s="3" t="str">
        <f ca="1">IFERROR(ProjectTimelineData[NUM]+1,"")</f>
        <v/>
      </c>
      <c r="N168" s="6" t="str">
        <f ca="1">IFERROR(VLOOKUP(SortedTimeline[经过排序的排名],ProjectTimelineData[],3,0),"")</f>
        <v/>
      </c>
      <c r="O168" s="2" t="str">
        <f ca="1">IFERROR(VLOOKUP(SortedTimeline[经过排序的排名],ProjectTimelineData[],4,0),"")</f>
        <v/>
      </c>
      <c r="P168" s="2" t="str">
        <f ca="1">IFERROR(VLOOKUP(SortedTimeline[经过排序的排名],ProjectTimelineData[],5,0),"")</f>
        <v/>
      </c>
    </row>
    <row r="169" spans="5:16" x14ac:dyDescent="0.3">
      <c r="E169" s="3" t="str">
        <f ca="1">IFERROR(RANK(F169,ProjectTimelineData[排名])+SUMPRODUCT(--(F169=ProjectTimelineData[排名]),--(J169&lt;ProjectTimelineData[NUM])),"")</f>
        <v/>
      </c>
      <c r="F169" s="3" t="str">
        <f ca="1">IFERROR(RANK(ProjectTimelineData[[#This Row],[日期]],ProjectTimelineData[日期],1),"")</f>
        <v/>
      </c>
      <c r="G169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6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69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69" s="2" t="str">
        <f ca="1">IFERROR(IF(ISBLANK(INDEX(ProjectDetails[#Data],ROW(A164)+1,1)),"",IF($J168-1&lt;=-1,"",$J168-1)),"")</f>
        <v/>
      </c>
      <c r="M169" s="3" t="str">
        <f ca="1">IFERROR(ProjectTimelineData[NUM]+1,"")</f>
        <v/>
      </c>
      <c r="N169" s="6" t="str">
        <f ca="1">IFERROR(VLOOKUP(SortedTimeline[经过排序的排名],ProjectTimelineData[],3,0),"")</f>
        <v/>
      </c>
      <c r="O169" s="2" t="str">
        <f ca="1">IFERROR(VLOOKUP(SortedTimeline[经过排序的排名],ProjectTimelineData[],4,0),"")</f>
        <v/>
      </c>
      <c r="P169" s="2" t="str">
        <f ca="1">IFERROR(VLOOKUP(SortedTimeline[经过排序的排名],ProjectTimelineData[],5,0),"")</f>
        <v/>
      </c>
    </row>
    <row r="170" spans="5:16" x14ac:dyDescent="0.3">
      <c r="E170" s="3" t="str">
        <f ca="1">IFERROR(RANK(F170,ProjectTimelineData[排名])+SUMPRODUCT(--(F170=ProjectTimelineData[排名]),--(J170&lt;ProjectTimelineData[NUM])),"")</f>
        <v/>
      </c>
      <c r="F170" s="3" t="str">
        <f ca="1">IFERROR(RANK(ProjectTimelineData[[#This Row],[日期]],ProjectTimelineData[日期],1),"")</f>
        <v/>
      </c>
      <c r="G170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70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70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70" s="2" t="str">
        <f ca="1">IFERROR(IF(ISBLANK(INDEX(ProjectDetails[#Data],ROW(A165)+1,1)),"",IF($J169-1&lt;=-1,"",$J169-1)),"")</f>
        <v/>
      </c>
      <c r="M170" s="3" t="str">
        <f ca="1">IFERROR(ProjectTimelineData[NUM]+1,"")</f>
        <v/>
      </c>
      <c r="N170" s="6" t="str">
        <f ca="1">IFERROR(VLOOKUP(SortedTimeline[经过排序的排名],ProjectTimelineData[],3,0),"")</f>
        <v/>
      </c>
      <c r="O170" s="2" t="str">
        <f ca="1">IFERROR(VLOOKUP(SortedTimeline[经过排序的排名],ProjectTimelineData[],4,0),"")</f>
        <v/>
      </c>
      <c r="P170" s="2" t="str">
        <f ca="1">IFERROR(VLOOKUP(SortedTimeline[经过排序的排名],ProjectTimelineData[],5,0),"")</f>
        <v/>
      </c>
    </row>
    <row r="171" spans="5:16" x14ac:dyDescent="0.3">
      <c r="E171" s="3" t="str">
        <f ca="1">IFERROR(RANK(F171,ProjectTimelineData[排名])+SUMPRODUCT(--(F171=ProjectTimelineData[排名]),--(J171&lt;ProjectTimelineData[NUM])),"")</f>
        <v/>
      </c>
      <c r="F171" s="3" t="str">
        <f ca="1">IFERROR(RANK(ProjectTimelineData[[#This Row],[日期]],ProjectTimelineData[日期],1),"")</f>
        <v/>
      </c>
      <c r="G171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71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71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71" s="2" t="str">
        <f ca="1">IFERROR(IF(ISBLANK(INDEX(ProjectDetails[#Data],ROW(A166)+1,1)),"",IF($J170-1&lt;=-1,"",$J170-1)),"")</f>
        <v/>
      </c>
      <c r="M171" s="3" t="str">
        <f ca="1">IFERROR(ProjectTimelineData[NUM]+1,"")</f>
        <v/>
      </c>
      <c r="N171" s="6" t="str">
        <f ca="1">IFERROR(VLOOKUP(SortedTimeline[经过排序的排名],ProjectTimelineData[],3,0),"")</f>
        <v/>
      </c>
      <c r="O171" s="2" t="str">
        <f ca="1">IFERROR(VLOOKUP(SortedTimeline[经过排序的排名],ProjectTimelineData[],4,0),"")</f>
        <v/>
      </c>
      <c r="P171" s="2" t="str">
        <f ca="1">IFERROR(VLOOKUP(SortedTimeline[经过排序的排名],ProjectTimelineData[],5,0),"")</f>
        <v/>
      </c>
    </row>
    <row r="172" spans="5:16" x14ac:dyDescent="0.3">
      <c r="E172" s="3" t="str">
        <f ca="1">IFERROR(RANK(F172,ProjectTimelineData[排名])+SUMPRODUCT(--(F172=ProjectTimelineData[排名]),--(J172&lt;ProjectTimelineData[NUM])),"")</f>
        <v/>
      </c>
      <c r="F172" s="3" t="str">
        <f ca="1">IFERROR(RANK(ProjectTimelineData[[#This Row],[日期]],ProjectTimelineData[日期],1),"")</f>
        <v/>
      </c>
      <c r="G172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72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72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72" s="2" t="str">
        <f ca="1">IFERROR(IF(ISBLANK(INDEX(ProjectDetails[#Data],ROW(A167)+1,1)),"",IF($J171-1&lt;=-1,"",$J171-1)),"")</f>
        <v/>
      </c>
      <c r="M172" s="3" t="str">
        <f ca="1">IFERROR(ProjectTimelineData[NUM]+1,"")</f>
        <v/>
      </c>
      <c r="N172" s="6" t="str">
        <f ca="1">IFERROR(VLOOKUP(SortedTimeline[经过排序的排名],ProjectTimelineData[],3,0),"")</f>
        <v/>
      </c>
      <c r="O172" s="2" t="str">
        <f ca="1">IFERROR(VLOOKUP(SortedTimeline[经过排序的排名],ProjectTimelineData[],4,0),"")</f>
        <v/>
      </c>
      <c r="P172" s="2" t="str">
        <f ca="1">IFERROR(VLOOKUP(SortedTimeline[经过排序的排名],ProjectTimelineData[],5,0),"")</f>
        <v/>
      </c>
    </row>
    <row r="173" spans="5:16" x14ac:dyDescent="0.3">
      <c r="E173" s="3" t="str">
        <f ca="1">IFERROR(RANK(F173,ProjectTimelineData[排名])+SUMPRODUCT(--(F173=ProjectTimelineData[排名]),--(J173&lt;ProjectTimelineData[NUM])),"")</f>
        <v/>
      </c>
      <c r="F173" s="3" t="str">
        <f ca="1">IFERROR(RANK(ProjectTimelineData[[#This Row],[日期]],ProjectTimelineData[日期],1),"")</f>
        <v/>
      </c>
      <c r="G173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73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73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73" s="2" t="str">
        <f ca="1">IFERROR(IF(ISBLANK(INDEX(ProjectDetails[#Data],ROW(A168)+1,1)),"",IF($J172-1&lt;=-1,"",$J172-1)),"")</f>
        <v/>
      </c>
      <c r="M173" s="3" t="str">
        <f ca="1">IFERROR(ProjectTimelineData[NUM]+1,"")</f>
        <v/>
      </c>
      <c r="N173" s="6" t="str">
        <f ca="1">IFERROR(VLOOKUP(SortedTimeline[经过排序的排名],ProjectTimelineData[],3,0),"")</f>
        <v/>
      </c>
      <c r="O173" s="2" t="str">
        <f ca="1">IFERROR(VLOOKUP(SortedTimeline[经过排序的排名],ProjectTimelineData[],4,0),"")</f>
        <v/>
      </c>
      <c r="P173" s="2" t="str">
        <f ca="1">IFERROR(VLOOKUP(SortedTimeline[经过排序的排名],ProjectTimelineData[],5,0),"")</f>
        <v/>
      </c>
    </row>
    <row r="174" spans="5:16" x14ac:dyDescent="0.3">
      <c r="E174" s="3" t="str">
        <f ca="1">IFERROR(RANK(F174,ProjectTimelineData[排名])+SUMPRODUCT(--(F174=ProjectTimelineData[排名]),--(J174&lt;ProjectTimelineData[NUM])),"")</f>
        <v/>
      </c>
      <c r="F174" s="3" t="str">
        <f ca="1">IFERROR(RANK(ProjectTimelineData[[#This Row],[日期]],ProjectTimelineData[日期],1),"")</f>
        <v/>
      </c>
      <c r="G174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74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74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74" s="2" t="str">
        <f ca="1">IFERROR(IF(ISBLANK(INDEX(ProjectDetails[#Data],ROW(A169)+1,1)),"",IF($J173-1&lt;=-1,"",$J173-1)),"")</f>
        <v/>
      </c>
      <c r="M174" s="3" t="str">
        <f ca="1">IFERROR(ProjectTimelineData[NUM]+1,"")</f>
        <v/>
      </c>
      <c r="N174" s="6" t="str">
        <f ca="1">IFERROR(VLOOKUP(SortedTimeline[经过排序的排名],ProjectTimelineData[],3,0),"")</f>
        <v/>
      </c>
      <c r="O174" s="2" t="str">
        <f ca="1">IFERROR(VLOOKUP(SortedTimeline[经过排序的排名],ProjectTimelineData[],4,0),"")</f>
        <v/>
      </c>
      <c r="P174" s="2" t="str">
        <f ca="1">IFERROR(VLOOKUP(SortedTimeline[经过排序的排名],ProjectTimelineData[],5,0),"")</f>
        <v/>
      </c>
    </row>
    <row r="175" spans="5:16" x14ac:dyDescent="0.3">
      <c r="E175" s="3" t="str">
        <f ca="1">IFERROR(RANK(F175,ProjectTimelineData[排名])+SUMPRODUCT(--(F175=ProjectTimelineData[排名]),--(J175&lt;ProjectTimelineData[NUM])),"")</f>
        <v/>
      </c>
      <c r="F175" s="3" t="str">
        <f ca="1">IFERROR(RANK(ProjectTimelineData[[#This Row],[日期]],ProjectTimelineData[日期],1),"")</f>
        <v/>
      </c>
      <c r="G175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75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75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75" s="2" t="str">
        <f ca="1">IFERROR(IF(ISBLANK(INDEX(ProjectDetails[#Data],ROW(A170)+1,1)),"",IF($J174-1&lt;=-1,"",$J174-1)),"")</f>
        <v/>
      </c>
      <c r="M175" s="3" t="str">
        <f ca="1">IFERROR(ProjectTimelineData[NUM]+1,"")</f>
        <v/>
      </c>
      <c r="N175" s="6" t="str">
        <f ca="1">IFERROR(VLOOKUP(SortedTimeline[经过排序的排名],ProjectTimelineData[],3,0),"")</f>
        <v/>
      </c>
      <c r="O175" s="2" t="str">
        <f ca="1">IFERROR(VLOOKUP(SortedTimeline[经过排序的排名],ProjectTimelineData[],4,0),"")</f>
        <v/>
      </c>
      <c r="P175" s="2" t="str">
        <f ca="1">IFERROR(VLOOKUP(SortedTimeline[经过排序的排名],ProjectTimelineData[],5,0),"")</f>
        <v/>
      </c>
    </row>
    <row r="176" spans="5:16" x14ac:dyDescent="0.3">
      <c r="E176" s="3" t="str">
        <f ca="1">IFERROR(RANK(F176,ProjectTimelineData[排名])+SUMPRODUCT(--(F176=ProjectTimelineData[排名]),--(J176&lt;ProjectTimelineData[NUM])),"")</f>
        <v/>
      </c>
      <c r="F176" s="3" t="str">
        <f ca="1">IFERROR(RANK(ProjectTimelineData[[#This Row],[日期]],ProjectTimelineData[日期],1),"")</f>
        <v/>
      </c>
      <c r="G176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7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76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76" s="2" t="str">
        <f ca="1">IFERROR(IF(ISBLANK(INDEX(ProjectDetails[#Data],ROW(A171)+1,1)),"",IF($J175-1&lt;=-1,"",$J175-1)),"")</f>
        <v/>
      </c>
      <c r="M176" s="3" t="str">
        <f ca="1">IFERROR(ProjectTimelineData[NUM]+1,"")</f>
        <v/>
      </c>
      <c r="N176" s="6" t="str">
        <f ca="1">IFERROR(VLOOKUP(SortedTimeline[经过排序的排名],ProjectTimelineData[],3,0),"")</f>
        <v/>
      </c>
      <c r="O176" s="2" t="str">
        <f ca="1">IFERROR(VLOOKUP(SortedTimeline[经过排序的排名],ProjectTimelineData[],4,0),"")</f>
        <v/>
      </c>
      <c r="P176" s="2" t="str">
        <f ca="1">IFERROR(VLOOKUP(SortedTimeline[经过排序的排名],ProjectTimelineData[],5,0),"")</f>
        <v/>
      </c>
    </row>
    <row r="177" spans="5:16" x14ac:dyDescent="0.3">
      <c r="E177" s="3" t="str">
        <f ca="1">IFERROR(RANK(F177,ProjectTimelineData[排名])+SUMPRODUCT(--(F177=ProjectTimelineData[排名]),--(J177&lt;ProjectTimelineData[NUM])),"")</f>
        <v/>
      </c>
      <c r="F177" s="3" t="str">
        <f ca="1">IFERROR(RANK(ProjectTimelineData[[#This Row],[日期]],ProjectTimelineData[日期],1),"")</f>
        <v/>
      </c>
      <c r="G177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7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77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77" s="2" t="str">
        <f ca="1">IFERROR(IF(ISBLANK(INDEX(ProjectDetails[#Data],ROW(A172)+1,1)),"",IF($J176-1&lt;=-1,"",$J176-1)),"")</f>
        <v/>
      </c>
      <c r="M177" s="3" t="str">
        <f ca="1">IFERROR(ProjectTimelineData[NUM]+1,"")</f>
        <v/>
      </c>
      <c r="N177" s="6" t="str">
        <f ca="1">IFERROR(VLOOKUP(SortedTimeline[经过排序的排名],ProjectTimelineData[],3,0),"")</f>
        <v/>
      </c>
      <c r="O177" s="2" t="str">
        <f ca="1">IFERROR(VLOOKUP(SortedTimeline[经过排序的排名],ProjectTimelineData[],4,0),"")</f>
        <v/>
      </c>
      <c r="P177" s="2" t="str">
        <f ca="1">IFERROR(VLOOKUP(SortedTimeline[经过排序的排名],ProjectTimelineData[],5,0),"")</f>
        <v/>
      </c>
    </row>
    <row r="178" spans="5:16" x14ac:dyDescent="0.3">
      <c r="E178" s="3" t="str">
        <f ca="1">IFERROR(RANK(F178,ProjectTimelineData[排名])+SUMPRODUCT(--(F178=ProjectTimelineData[排名]),--(J178&lt;ProjectTimelineData[NUM])),"")</f>
        <v/>
      </c>
      <c r="F178" s="3" t="str">
        <f ca="1">IFERROR(RANK(ProjectTimelineData[[#This Row],[日期]],ProjectTimelineData[日期],1),"")</f>
        <v/>
      </c>
      <c r="G178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7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78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78" s="2" t="str">
        <f ca="1">IFERROR(IF(ISBLANK(INDEX(ProjectDetails[#Data],ROW(A173)+1,1)),"",IF($J177-1&lt;=-1,"",$J177-1)),"")</f>
        <v/>
      </c>
      <c r="M178" s="3" t="str">
        <f ca="1">IFERROR(ProjectTimelineData[NUM]+1,"")</f>
        <v/>
      </c>
      <c r="N178" s="6" t="str">
        <f ca="1">IFERROR(VLOOKUP(SortedTimeline[经过排序的排名],ProjectTimelineData[],3,0),"")</f>
        <v/>
      </c>
      <c r="O178" s="2" t="str">
        <f ca="1">IFERROR(VLOOKUP(SortedTimeline[经过排序的排名],ProjectTimelineData[],4,0),"")</f>
        <v/>
      </c>
      <c r="P178" s="2" t="str">
        <f ca="1">IFERROR(VLOOKUP(SortedTimeline[经过排序的排名],ProjectTimelineData[],5,0),"")</f>
        <v/>
      </c>
    </row>
    <row r="179" spans="5:16" x14ac:dyDescent="0.3">
      <c r="E179" s="3" t="str">
        <f ca="1">IFERROR(RANK(F179,ProjectTimelineData[排名])+SUMPRODUCT(--(F179=ProjectTimelineData[排名]),--(J179&lt;ProjectTimelineData[NUM])),"")</f>
        <v/>
      </c>
      <c r="F179" s="3" t="str">
        <f ca="1">IFERROR(RANK(ProjectTimelineData[[#This Row],[日期]],ProjectTimelineData[日期],1),"")</f>
        <v/>
      </c>
      <c r="G179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7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79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79" s="2" t="str">
        <f ca="1">IFERROR(IF(ISBLANK(INDEX(ProjectDetails[#Data],ROW(A174)+1,1)),"",IF($J178-1&lt;=-1,"",$J178-1)),"")</f>
        <v/>
      </c>
      <c r="M179" s="3" t="str">
        <f ca="1">IFERROR(ProjectTimelineData[NUM]+1,"")</f>
        <v/>
      </c>
      <c r="N179" s="6" t="str">
        <f ca="1">IFERROR(VLOOKUP(SortedTimeline[经过排序的排名],ProjectTimelineData[],3,0),"")</f>
        <v/>
      </c>
      <c r="O179" s="2" t="str">
        <f ca="1">IFERROR(VLOOKUP(SortedTimeline[经过排序的排名],ProjectTimelineData[],4,0),"")</f>
        <v/>
      </c>
      <c r="P179" s="2" t="str">
        <f ca="1">IFERROR(VLOOKUP(SortedTimeline[经过排序的排名],ProjectTimelineData[],5,0),"")</f>
        <v/>
      </c>
    </row>
    <row r="180" spans="5:16" x14ac:dyDescent="0.3">
      <c r="E180" s="3" t="str">
        <f ca="1">IFERROR(RANK(F180,ProjectTimelineData[排名])+SUMPRODUCT(--(F180=ProjectTimelineData[排名]),--(J180&lt;ProjectTimelineData[NUM])),"")</f>
        <v/>
      </c>
      <c r="F180" s="3" t="str">
        <f ca="1">IFERROR(RANK(ProjectTimelineData[[#This Row],[日期]],ProjectTimelineData[日期],1),"")</f>
        <v/>
      </c>
      <c r="G180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80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80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80" s="2" t="str">
        <f ca="1">IFERROR(IF(ISBLANK(INDEX(ProjectDetails[#Data],ROW(A175)+1,1)),"",IF($J179-1&lt;=-1,"",$J179-1)),"")</f>
        <v/>
      </c>
      <c r="M180" s="3" t="str">
        <f ca="1">IFERROR(ProjectTimelineData[NUM]+1,"")</f>
        <v/>
      </c>
      <c r="N180" s="6" t="str">
        <f ca="1">IFERROR(VLOOKUP(SortedTimeline[经过排序的排名],ProjectTimelineData[],3,0),"")</f>
        <v/>
      </c>
      <c r="O180" s="2" t="str">
        <f ca="1">IFERROR(VLOOKUP(SortedTimeline[经过排序的排名],ProjectTimelineData[],4,0),"")</f>
        <v/>
      </c>
      <c r="P180" s="2" t="str">
        <f ca="1">IFERROR(VLOOKUP(SortedTimeline[经过排序的排名],ProjectTimelineData[],5,0),"")</f>
        <v/>
      </c>
    </row>
    <row r="181" spans="5:16" x14ac:dyDescent="0.3">
      <c r="E181" s="3" t="str">
        <f ca="1">IFERROR(RANK(F181,ProjectTimelineData[排名])+SUMPRODUCT(--(F181=ProjectTimelineData[排名]),--(J181&lt;ProjectTimelineData[NUM])),"")</f>
        <v/>
      </c>
      <c r="F181" s="3" t="str">
        <f ca="1">IFERROR(RANK(ProjectTimelineData[[#This Row],[日期]],ProjectTimelineData[日期],1),"")</f>
        <v/>
      </c>
      <c r="G181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81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81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81" s="2" t="str">
        <f ca="1">IFERROR(IF(ISBLANK(INDEX(ProjectDetails[#Data],ROW(A176)+1,1)),"",IF($J180-1&lt;=-1,"",$J180-1)),"")</f>
        <v/>
      </c>
      <c r="M181" s="3" t="str">
        <f ca="1">IFERROR(ProjectTimelineData[NUM]+1,"")</f>
        <v/>
      </c>
      <c r="N181" s="6" t="str">
        <f ca="1">IFERROR(VLOOKUP(SortedTimeline[经过排序的排名],ProjectTimelineData[],3,0),"")</f>
        <v/>
      </c>
      <c r="O181" s="2" t="str">
        <f ca="1">IFERROR(VLOOKUP(SortedTimeline[经过排序的排名],ProjectTimelineData[],4,0),"")</f>
        <v/>
      </c>
      <c r="P181" s="2" t="str">
        <f ca="1">IFERROR(VLOOKUP(SortedTimeline[经过排序的排名],ProjectTimelineData[],5,0),"")</f>
        <v/>
      </c>
    </row>
    <row r="182" spans="5:16" x14ac:dyDescent="0.3">
      <c r="E182" s="3" t="str">
        <f ca="1">IFERROR(RANK(F182,ProjectTimelineData[排名])+SUMPRODUCT(--(F182=ProjectTimelineData[排名]),--(J182&lt;ProjectTimelineData[NUM])),"")</f>
        <v/>
      </c>
      <c r="F182" s="3" t="str">
        <f ca="1">IFERROR(RANK(ProjectTimelineData[[#This Row],[日期]],ProjectTimelineData[日期],1),"")</f>
        <v/>
      </c>
      <c r="G182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82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82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82" s="2" t="str">
        <f ca="1">IFERROR(IF(ISBLANK(INDEX(ProjectDetails[#Data],ROW(A177)+1,1)),"",IF($J181-1&lt;=-1,"",$J181-1)),"")</f>
        <v/>
      </c>
      <c r="M182" s="3" t="str">
        <f ca="1">IFERROR(ProjectTimelineData[NUM]+1,"")</f>
        <v/>
      </c>
      <c r="N182" s="6" t="str">
        <f ca="1">IFERROR(VLOOKUP(SortedTimeline[经过排序的排名],ProjectTimelineData[],3,0),"")</f>
        <v/>
      </c>
      <c r="O182" s="2" t="str">
        <f ca="1">IFERROR(VLOOKUP(SortedTimeline[经过排序的排名],ProjectTimelineData[],4,0),"")</f>
        <v/>
      </c>
      <c r="P182" s="2" t="str">
        <f ca="1">IFERROR(VLOOKUP(SortedTimeline[经过排序的排名],ProjectTimelineData[],5,0),"")</f>
        <v/>
      </c>
    </row>
    <row r="183" spans="5:16" x14ac:dyDescent="0.3">
      <c r="E183" s="3" t="str">
        <f ca="1">IFERROR(RANK(F183,ProjectTimelineData[排名])+SUMPRODUCT(--(F183=ProjectTimelineData[排名]),--(J183&lt;ProjectTimelineData[NUM])),"")</f>
        <v/>
      </c>
      <c r="F183" s="3" t="str">
        <f ca="1">IFERROR(RANK(ProjectTimelineData[[#This Row],[日期]],ProjectTimelineData[日期],1),"")</f>
        <v/>
      </c>
      <c r="G183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83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83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83" s="2" t="str">
        <f ca="1">IFERROR(IF(ISBLANK(INDEX(ProjectDetails[#Data],ROW(A178)+1,1)),"",IF($J182-1&lt;=-1,"",$J182-1)),"")</f>
        <v/>
      </c>
      <c r="M183" s="3" t="str">
        <f ca="1">IFERROR(ProjectTimelineData[NUM]+1,"")</f>
        <v/>
      </c>
      <c r="N183" s="6" t="str">
        <f ca="1">IFERROR(VLOOKUP(SortedTimeline[经过排序的排名],ProjectTimelineData[],3,0),"")</f>
        <v/>
      </c>
      <c r="O183" s="2" t="str">
        <f ca="1">IFERROR(VLOOKUP(SortedTimeline[经过排序的排名],ProjectTimelineData[],4,0),"")</f>
        <v/>
      </c>
      <c r="P183" s="2" t="str">
        <f ca="1">IFERROR(VLOOKUP(SortedTimeline[经过排序的排名],ProjectTimelineData[],5,0),"")</f>
        <v/>
      </c>
    </row>
    <row r="184" spans="5:16" x14ac:dyDescent="0.3">
      <c r="E184" s="3" t="str">
        <f ca="1">IFERROR(RANK(F184,ProjectTimelineData[排名])+SUMPRODUCT(--(F184=ProjectTimelineData[排名]),--(J184&lt;ProjectTimelineData[NUM])),"")</f>
        <v/>
      </c>
      <c r="F184" s="3" t="str">
        <f ca="1">IFERROR(RANK(ProjectTimelineData[[#This Row],[日期]],ProjectTimelineData[日期],1),"")</f>
        <v/>
      </c>
      <c r="G184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84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84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84" s="2" t="str">
        <f ca="1">IFERROR(IF(ISBLANK(INDEX(ProjectDetails[#Data],ROW(A179)+1,1)),"",IF($J183-1&lt;=-1,"",$J183-1)),"")</f>
        <v/>
      </c>
      <c r="M184" s="3" t="str">
        <f ca="1">IFERROR(ProjectTimelineData[NUM]+1,"")</f>
        <v/>
      </c>
      <c r="N184" s="6" t="str">
        <f ca="1">IFERROR(VLOOKUP(SortedTimeline[经过排序的排名],ProjectTimelineData[],3,0),"")</f>
        <v/>
      </c>
      <c r="O184" s="2" t="str">
        <f ca="1">IFERROR(VLOOKUP(SortedTimeline[经过排序的排名],ProjectTimelineData[],4,0),"")</f>
        <v/>
      </c>
      <c r="P184" s="2" t="str">
        <f ca="1">IFERROR(VLOOKUP(SortedTimeline[经过排序的排名],ProjectTimelineData[],5,0),"")</f>
        <v/>
      </c>
    </row>
    <row r="185" spans="5:16" x14ac:dyDescent="0.3">
      <c r="E185" s="3" t="str">
        <f ca="1">IFERROR(RANK(F185,ProjectTimelineData[排名])+SUMPRODUCT(--(F185=ProjectTimelineData[排名]),--(J185&lt;ProjectTimelineData[NUM])),"")</f>
        <v/>
      </c>
      <c r="F185" s="3" t="str">
        <f ca="1">IFERROR(RANK(ProjectTimelineData[[#This Row],[日期]],ProjectTimelineData[日期],1),"")</f>
        <v/>
      </c>
      <c r="G185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85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85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85" s="2" t="str">
        <f ca="1">IFERROR(IF(ISBLANK(INDEX(ProjectDetails[#Data],ROW(A180)+1,1)),"",IF($J184-1&lt;=-1,"",$J184-1)),"")</f>
        <v/>
      </c>
      <c r="M185" s="3" t="str">
        <f ca="1">IFERROR(ProjectTimelineData[NUM]+1,"")</f>
        <v/>
      </c>
      <c r="N185" s="6" t="str">
        <f ca="1">IFERROR(VLOOKUP(SortedTimeline[经过排序的排名],ProjectTimelineData[],3,0),"")</f>
        <v/>
      </c>
      <c r="O185" s="2" t="str">
        <f ca="1">IFERROR(VLOOKUP(SortedTimeline[经过排序的排名],ProjectTimelineData[],4,0),"")</f>
        <v/>
      </c>
      <c r="P185" s="2" t="str">
        <f ca="1">IFERROR(VLOOKUP(SortedTimeline[经过排序的排名],ProjectTimelineData[],5,0),"")</f>
        <v/>
      </c>
    </row>
    <row r="186" spans="5:16" x14ac:dyDescent="0.3">
      <c r="E186" s="3" t="str">
        <f ca="1">IFERROR(RANK(F186,ProjectTimelineData[排名])+SUMPRODUCT(--(F186=ProjectTimelineData[排名]),--(J186&lt;ProjectTimelineData[NUM])),"")</f>
        <v/>
      </c>
      <c r="F186" s="3" t="str">
        <f ca="1">IFERROR(RANK(ProjectTimelineData[[#This Row],[日期]],ProjectTimelineData[日期],1),"")</f>
        <v/>
      </c>
      <c r="G186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8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86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86" s="2" t="str">
        <f ca="1">IFERROR(IF(ISBLANK(INDEX(ProjectDetails[#Data],ROW(A181)+1,1)),"",IF($J185-1&lt;=-1,"",$J185-1)),"")</f>
        <v/>
      </c>
      <c r="M186" s="3" t="str">
        <f ca="1">IFERROR(ProjectTimelineData[NUM]+1,"")</f>
        <v/>
      </c>
      <c r="N186" s="6" t="str">
        <f ca="1">IFERROR(VLOOKUP(SortedTimeline[经过排序的排名],ProjectTimelineData[],3,0),"")</f>
        <v/>
      </c>
      <c r="O186" s="2" t="str">
        <f ca="1">IFERROR(VLOOKUP(SortedTimeline[经过排序的排名],ProjectTimelineData[],4,0),"")</f>
        <v/>
      </c>
      <c r="P186" s="2" t="str">
        <f ca="1">IFERROR(VLOOKUP(SortedTimeline[经过排序的排名],ProjectTimelineData[],5,0),"")</f>
        <v/>
      </c>
    </row>
    <row r="187" spans="5:16" x14ac:dyDescent="0.3">
      <c r="E187" s="3" t="str">
        <f ca="1">IFERROR(RANK(F187,ProjectTimelineData[排名])+SUMPRODUCT(--(F187=ProjectTimelineData[排名]),--(J187&lt;ProjectTimelineData[NUM])),"")</f>
        <v/>
      </c>
      <c r="F187" s="3" t="str">
        <f ca="1">IFERROR(RANK(ProjectTimelineData[[#This Row],[日期]],ProjectTimelineData[日期],1),"")</f>
        <v/>
      </c>
      <c r="G187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8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87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87" s="2" t="str">
        <f ca="1">IFERROR(IF(ISBLANK(INDEX(ProjectDetails[#Data],ROW(A182)+1,1)),"",IF($J186-1&lt;=-1,"",$J186-1)),"")</f>
        <v/>
      </c>
      <c r="M187" s="3" t="str">
        <f ca="1">IFERROR(ProjectTimelineData[NUM]+1,"")</f>
        <v/>
      </c>
      <c r="N187" s="6" t="str">
        <f ca="1">IFERROR(VLOOKUP(SortedTimeline[经过排序的排名],ProjectTimelineData[],3,0),"")</f>
        <v/>
      </c>
      <c r="O187" s="2" t="str">
        <f ca="1">IFERROR(VLOOKUP(SortedTimeline[经过排序的排名],ProjectTimelineData[],4,0),"")</f>
        <v/>
      </c>
      <c r="P187" s="2" t="str">
        <f ca="1">IFERROR(VLOOKUP(SortedTimeline[经过排序的排名],ProjectTimelineData[],5,0),"")</f>
        <v/>
      </c>
    </row>
    <row r="188" spans="5:16" x14ac:dyDescent="0.3">
      <c r="E188" s="3" t="str">
        <f ca="1">IFERROR(RANK(F188,ProjectTimelineData[排名])+SUMPRODUCT(--(F188=ProjectTimelineData[排名]),--(J188&lt;ProjectTimelineData[NUM])),"")</f>
        <v/>
      </c>
      <c r="F188" s="3" t="str">
        <f ca="1">IFERROR(RANK(ProjectTimelineData[[#This Row],[日期]],ProjectTimelineData[日期],1),"")</f>
        <v/>
      </c>
      <c r="G188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8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88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88" s="2" t="str">
        <f ca="1">IFERROR(IF(ISBLANK(INDEX(ProjectDetails[#Data],ROW(A183)+1,1)),"",IF($J187-1&lt;=-1,"",$J187-1)),"")</f>
        <v/>
      </c>
      <c r="M188" s="3" t="str">
        <f ca="1">IFERROR(ProjectTimelineData[NUM]+1,"")</f>
        <v/>
      </c>
      <c r="N188" s="6" t="str">
        <f ca="1">IFERROR(VLOOKUP(SortedTimeline[经过排序的排名],ProjectTimelineData[],3,0),"")</f>
        <v/>
      </c>
      <c r="O188" s="2" t="str">
        <f ca="1">IFERROR(VLOOKUP(SortedTimeline[经过排序的排名],ProjectTimelineData[],4,0),"")</f>
        <v/>
      </c>
      <c r="P188" s="2" t="str">
        <f ca="1">IFERROR(VLOOKUP(SortedTimeline[经过排序的排名],ProjectTimelineData[],5,0),"")</f>
        <v/>
      </c>
    </row>
    <row r="189" spans="5:16" x14ac:dyDescent="0.3">
      <c r="E189" s="3" t="str">
        <f ca="1">IFERROR(RANK(F189,ProjectTimelineData[排名])+SUMPRODUCT(--(F189=ProjectTimelineData[排名]),--(J189&lt;ProjectTimelineData[NUM])),"")</f>
        <v/>
      </c>
      <c r="F189" s="3" t="str">
        <f ca="1">IFERROR(RANK(ProjectTimelineData[[#This Row],[日期]],ProjectTimelineData[日期],1),"")</f>
        <v/>
      </c>
      <c r="G189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8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89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89" s="2" t="str">
        <f ca="1">IFERROR(IF(ISBLANK(INDEX(ProjectDetails[#Data],ROW(A184)+1,1)),"",IF($J188-1&lt;=-1,"",$J188-1)),"")</f>
        <v/>
      </c>
      <c r="M189" s="3" t="str">
        <f ca="1">IFERROR(ProjectTimelineData[NUM]+1,"")</f>
        <v/>
      </c>
      <c r="N189" s="6" t="str">
        <f ca="1">IFERROR(VLOOKUP(SortedTimeline[经过排序的排名],ProjectTimelineData[],3,0),"")</f>
        <v/>
      </c>
      <c r="O189" s="2" t="str">
        <f ca="1">IFERROR(VLOOKUP(SortedTimeline[经过排序的排名],ProjectTimelineData[],4,0),"")</f>
        <v/>
      </c>
      <c r="P189" s="2" t="str">
        <f ca="1">IFERROR(VLOOKUP(SortedTimeline[经过排序的排名],ProjectTimelineData[],5,0),"")</f>
        <v/>
      </c>
    </row>
    <row r="190" spans="5:16" x14ac:dyDescent="0.3">
      <c r="E190" s="3" t="str">
        <f ca="1">IFERROR(RANK(F190,ProjectTimelineData[排名])+SUMPRODUCT(--(F190=ProjectTimelineData[排名]),--(J190&lt;ProjectTimelineData[NUM])),"")</f>
        <v/>
      </c>
      <c r="F190" s="3" t="str">
        <f ca="1">IFERROR(RANK(ProjectTimelineData[[#This Row],[日期]],ProjectTimelineData[日期],1),"")</f>
        <v/>
      </c>
      <c r="G190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90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90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90" s="2" t="str">
        <f ca="1">IFERROR(IF(ISBLANK(INDEX(ProjectDetails[#Data],ROW(A185)+1,1)),"",IF($J189-1&lt;=-1,"",$J189-1)),"")</f>
        <v/>
      </c>
      <c r="M190" s="3" t="str">
        <f ca="1">IFERROR(ProjectTimelineData[NUM]+1,"")</f>
        <v/>
      </c>
      <c r="N190" s="6" t="str">
        <f ca="1">IFERROR(VLOOKUP(SortedTimeline[经过排序的排名],ProjectTimelineData[],3,0),"")</f>
        <v/>
      </c>
      <c r="O190" s="2" t="str">
        <f ca="1">IFERROR(VLOOKUP(SortedTimeline[经过排序的排名],ProjectTimelineData[],4,0),"")</f>
        <v/>
      </c>
      <c r="P190" s="2" t="str">
        <f ca="1">IFERROR(VLOOKUP(SortedTimeline[经过排序的排名],ProjectTimelineData[],5,0),"")</f>
        <v/>
      </c>
    </row>
    <row r="191" spans="5:16" x14ac:dyDescent="0.3">
      <c r="E191" s="3" t="str">
        <f ca="1">IFERROR(RANK(F191,ProjectTimelineData[排名])+SUMPRODUCT(--(F191=ProjectTimelineData[排名]),--(J191&lt;ProjectTimelineData[NUM])),"")</f>
        <v/>
      </c>
      <c r="F191" s="3" t="str">
        <f ca="1">IFERROR(RANK(ProjectTimelineData[[#This Row],[日期]],ProjectTimelineData[日期],1),"")</f>
        <v/>
      </c>
      <c r="G191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91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91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91" s="2" t="str">
        <f ca="1">IFERROR(IF(ISBLANK(INDEX(ProjectDetails[#Data],ROW(A186)+1,1)),"",IF($J190-1&lt;=-1,"",$J190-1)),"")</f>
        <v/>
      </c>
      <c r="M191" s="3" t="str">
        <f ca="1">IFERROR(ProjectTimelineData[NUM]+1,"")</f>
        <v/>
      </c>
      <c r="N191" s="6" t="str">
        <f ca="1">IFERROR(VLOOKUP(SortedTimeline[经过排序的排名],ProjectTimelineData[],3,0),"")</f>
        <v/>
      </c>
      <c r="O191" s="2" t="str">
        <f ca="1">IFERROR(VLOOKUP(SortedTimeline[经过排序的排名],ProjectTimelineData[],4,0),"")</f>
        <v/>
      </c>
      <c r="P191" s="2" t="str">
        <f ca="1">IFERROR(VLOOKUP(SortedTimeline[经过排序的排名],ProjectTimelineData[],5,0),"")</f>
        <v/>
      </c>
    </row>
    <row r="192" spans="5:16" x14ac:dyDescent="0.3">
      <c r="E192" s="3" t="str">
        <f ca="1">IFERROR(RANK(F192,ProjectTimelineData[排名])+SUMPRODUCT(--(F192=ProjectTimelineData[排名]),--(J192&lt;ProjectTimelineData[NUM])),"")</f>
        <v/>
      </c>
      <c r="F192" s="3" t="str">
        <f ca="1">IFERROR(RANK(ProjectTimelineData[[#This Row],[日期]],ProjectTimelineData[日期],1),"")</f>
        <v/>
      </c>
      <c r="G192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92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92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92" s="2" t="str">
        <f ca="1">IFERROR(IF(ISBLANK(INDEX(ProjectDetails[#Data],ROW(A187)+1,1)),"",IF($J191-1&lt;=-1,"",$J191-1)),"")</f>
        <v/>
      </c>
      <c r="M192" s="3" t="str">
        <f ca="1">IFERROR(ProjectTimelineData[NUM]+1,"")</f>
        <v/>
      </c>
      <c r="N192" s="6" t="str">
        <f ca="1">IFERROR(VLOOKUP(SortedTimeline[经过排序的排名],ProjectTimelineData[],3,0),"")</f>
        <v/>
      </c>
      <c r="O192" s="2" t="str">
        <f ca="1">IFERROR(VLOOKUP(SortedTimeline[经过排序的排名],ProjectTimelineData[],4,0),"")</f>
        <v/>
      </c>
      <c r="P192" s="2" t="str">
        <f ca="1">IFERROR(VLOOKUP(SortedTimeline[经过排序的排名],ProjectTimelineData[],5,0),"")</f>
        <v/>
      </c>
    </row>
    <row r="193" spans="5:16" x14ac:dyDescent="0.3">
      <c r="E193" s="3" t="str">
        <f ca="1">IFERROR(RANK(F193,ProjectTimelineData[排名])+SUMPRODUCT(--(F193=ProjectTimelineData[排名]),--(J193&lt;ProjectTimelineData[NUM])),"")</f>
        <v/>
      </c>
      <c r="F193" s="3" t="str">
        <f ca="1">IFERROR(RANK(ProjectTimelineData[[#This Row],[日期]],ProjectTimelineData[日期],1),"")</f>
        <v/>
      </c>
      <c r="G193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93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93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93" s="2" t="str">
        <f ca="1">IFERROR(IF(ISBLANK(INDEX(ProjectDetails[#Data],ROW(A188)+1,1)),"",IF($J192-1&lt;=-1,"",$J192-1)),"")</f>
        <v/>
      </c>
      <c r="M193" s="3" t="str">
        <f ca="1">IFERROR(ProjectTimelineData[NUM]+1,"")</f>
        <v/>
      </c>
      <c r="N193" s="6" t="str">
        <f ca="1">IFERROR(VLOOKUP(SortedTimeline[经过排序的排名],ProjectTimelineData[],3,0),"")</f>
        <v/>
      </c>
      <c r="O193" s="2" t="str">
        <f ca="1">IFERROR(VLOOKUP(SortedTimeline[经过排序的排名],ProjectTimelineData[],4,0),"")</f>
        <v/>
      </c>
      <c r="P193" s="2" t="str">
        <f ca="1">IFERROR(VLOOKUP(SortedTimeline[经过排序的排名],ProjectTimelineData[],5,0),"")</f>
        <v/>
      </c>
    </row>
    <row r="194" spans="5:16" x14ac:dyDescent="0.3">
      <c r="E194" s="3" t="str">
        <f ca="1">IFERROR(RANK(F194,ProjectTimelineData[排名])+SUMPRODUCT(--(F194=ProjectTimelineData[排名]),--(J194&lt;ProjectTimelineData[NUM])),"")</f>
        <v/>
      </c>
      <c r="F194" s="3" t="str">
        <f ca="1">IFERROR(RANK(ProjectTimelineData[[#This Row],[日期]],ProjectTimelineData[日期],1),"")</f>
        <v/>
      </c>
      <c r="G194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94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94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94" s="2" t="str">
        <f ca="1">IFERROR(IF(ISBLANK(INDEX(ProjectDetails[#Data],ROW(A189)+1,1)),"",IF($J193-1&lt;=-1,"",$J193-1)),"")</f>
        <v/>
      </c>
      <c r="M194" s="3" t="str">
        <f ca="1">IFERROR(ProjectTimelineData[NUM]+1,"")</f>
        <v/>
      </c>
      <c r="N194" s="6" t="str">
        <f ca="1">IFERROR(VLOOKUP(SortedTimeline[经过排序的排名],ProjectTimelineData[],3,0),"")</f>
        <v/>
      </c>
      <c r="O194" s="2" t="str">
        <f ca="1">IFERROR(VLOOKUP(SortedTimeline[经过排序的排名],ProjectTimelineData[],4,0),"")</f>
        <v/>
      </c>
      <c r="P194" s="2" t="str">
        <f ca="1">IFERROR(VLOOKUP(SortedTimeline[经过排序的排名],ProjectTimelineData[],5,0),"")</f>
        <v/>
      </c>
    </row>
    <row r="195" spans="5:16" x14ac:dyDescent="0.3">
      <c r="E195" s="3" t="str">
        <f ca="1">IFERROR(RANK(F195,ProjectTimelineData[排名])+SUMPRODUCT(--(F195=ProjectTimelineData[排名]),--(J195&lt;ProjectTimelineData[NUM])),"")</f>
        <v/>
      </c>
      <c r="F195" s="3" t="str">
        <f ca="1">IFERROR(RANK(ProjectTimelineData[[#This Row],[日期]],ProjectTimelineData[日期],1),"")</f>
        <v/>
      </c>
      <c r="G195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95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95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95" s="2" t="str">
        <f ca="1">IFERROR(IF(ISBLANK(INDEX(ProjectDetails[#Data],ROW(A190)+1,1)),"",IF($J194-1&lt;=-1,"",$J194-1)),"")</f>
        <v/>
      </c>
      <c r="M195" s="3" t="str">
        <f ca="1">IFERROR(ProjectTimelineData[NUM]+1,"")</f>
        <v/>
      </c>
      <c r="N195" s="6" t="str">
        <f ca="1">IFERROR(VLOOKUP(SortedTimeline[经过排序的排名],ProjectTimelineData[],3,0),"")</f>
        <v/>
      </c>
      <c r="O195" s="2" t="str">
        <f ca="1">IFERROR(VLOOKUP(SortedTimeline[经过排序的排名],ProjectTimelineData[],4,0),"")</f>
        <v/>
      </c>
      <c r="P195" s="2" t="str">
        <f ca="1">IFERROR(VLOOKUP(SortedTimeline[经过排序的排名],ProjectTimelineData[],5,0),"")</f>
        <v/>
      </c>
    </row>
    <row r="196" spans="5:16" x14ac:dyDescent="0.3">
      <c r="E196" s="3" t="str">
        <f ca="1">IFERROR(RANK(F196,ProjectTimelineData[排名])+SUMPRODUCT(--(F196=ProjectTimelineData[排名]),--(J196&lt;ProjectTimelineData[NUM])),"")</f>
        <v/>
      </c>
      <c r="F196" s="3" t="str">
        <f ca="1">IFERROR(RANK(ProjectTimelineData[[#This Row],[日期]],ProjectTimelineData[日期],1),"")</f>
        <v/>
      </c>
      <c r="G196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9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96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96" s="2" t="str">
        <f ca="1">IFERROR(IF(ISBLANK(INDEX(ProjectDetails[#Data],ROW(A191)+1,1)),"",IF($J195-1&lt;=-1,"",$J195-1)),"")</f>
        <v/>
      </c>
      <c r="M196" s="3" t="str">
        <f ca="1">IFERROR(ProjectTimelineData[NUM]+1,"")</f>
        <v/>
      </c>
      <c r="N196" s="6" t="str">
        <f ca="1">IFERROR(VLOOKUP(SortedTimeline[经过排序的排名],ProjectTimelineData[],3,0),"")</f>
        <v/>
      </c>
      <c r="O196" s="2" t="str">
        <f ca="1">IFERROR(VLOOKUP(SortedTimeline[经过排序的排名],ProjectTimelineData[],4,0),"")</f>
        <v/>
      </c>
      <c r="P196" s="2" t="str">
        <f ca="1">IFERROR(VLOOKUP(SortedTimeline[经过排序的排名],ProjectTimelineData[],5,0),"")</f>
        <v/>
      </c>
    </row>
    <row r="197" spans="5:16" x14ac:dyDescent="0.3">
      <c r="E197" s="3" t="str">
        <f ca="1">IFERROR(RANK(F197,ProjectTimelineData[排名])+SUMPRODUCT(--(F197=ProjectTimelineData[排名]),--(J197&lt;ProjectTimelineData[NUM])),"")</f>
        <v/>
      </c>
      <c r="F197" s="3" t="str">
        <f ca="1">IFERROR(RANK(ProjectTimelineData[[#This Row],[日期]],ProjectTimelineData[日期],1),"")</f>
        <v/>
      </c>
      <c r="G197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9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97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97" s="2" t="str">
        <f ca="1">IFERROR(IF(ISBLANK(INDEX(ProjectDetails[#Data],ROW(A192)+1,1)),"",IF($J196-1&lt;=-1,"",$J196-1)),"")</f>
        <v/>
      </c>
      <c r="M197" s="3" t="str">
        <f ca="1">IFERROR(ProjectTimelineData[NUM]+1,"")</f>
        <v/>
      </c>
      <c r="N197" s="6" t="str">
        <f ca="1">IFERROR(VLOOKUP(SortedTimeline[经过排序的排名],ProjectTimelineData[],3,0),"")</f>
        <v/>
      </c>
      <c r="O197" s="2" t="str">
        <f ca="1">IFERROR(VLOOKUP(SortedTimeline[经过排序的排名],ProjectTimelineData[],4,0),"")</f>
        <v/>
      </c>
      <c r="P197" s="2" t="str">
        <f ca="1">IFERROR(VLOOKUP(SortedTimeline[经过排序的排名],ProjectTimelineData[],5,0),"")</f>
        <v/>
      </c>
    </row>
    <row r="198" spans="5:16" x14ac:dyDescent="0.3">
      <c r="E198" s="3" t="str">
        <f ca="1">IFERROR(RANK(F198,ProjectTimelineData[排名])+SUMPRODUCT(--(F198=ProjectTimelineData[排名]),--(J198&lt;ProjectTimelineData[NUM])),"")</f>
        <v/>
      </c>
      <c r="F198" s="3" t="str">
        <f ca="1">IFERROR(RANK(ProjectTimelineData[[#This Row],[日期]],ProjectTimelineData[日期],1),"")</f>
        <v/>
      </c>
      <c r="G198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9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98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98" s="2" t="str">
        <f ca="1">IFERROR(IF(ISBLANK(INDEX(ProjectDetails[#Data],ROW(A193)+1,1)),"",IF($J197-1&lt;=-1,"",$J197-1)),"")</f>
        <v/>
      </c>
      <c r="M198" s="3" t="str">
        <f ca="1">IFERROR(ProjectTimelineData[NUM]+1,"")</f>
        <v/>
      </c>
      <c r="N198" s="6" t="str">
        <f ca="1">IFERROR(VLOOKUP(SortedTimeline[经过排序的排名],ProjectTimelineData[],3,0),"")</f>
        <v/>
      </c>
      <c r="O198" s="2" t="str">
        <f ca="1">IFERROR(VLOOKUP(SortedTimeline[经过排序的排名],ProjectTimelineData[],4,0),"")</f>
        <v/>
      </c>
      <c r="P198" s="2" t="str">
        <f ca="1">IFERROR(VLOOKUP(SortedTimeline[经过排序的排名],ProjectTimelineData[],5,0),"")</f>
        <v/>
      </c>
    </row>
    <row r="199" spans="5:16" x14ac:dyDescent="0.3">
      <c r="E199" s="3" t="str">
        <f ca="1">IFERROR(RANK(F199,ProjectTimelineData[排名])+SUMPRODUCT(--(F199=ProjectTimelineData[排名]),--(J199&lt;ProjectTimelineData[NUM])),"")</f>
        <v/>
      </c>
      <c r="F199" s="3" t="str">
        <f ca="1">IFERROR(RANK(ProjectTimelineData[[#This Row],[日期]],ProjectTimelineData[日期],1),"")</f>
        <v/>
      </c>
      <c r="G199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19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199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199" s="2" t="str">
        <f ca="1">IFERROR(IF(ISBLANK(INDEX(ProjectDetails[#Data],ROW(A194)+1,1)),"",IF($J198-1&lt;=-1,"",$J198-1)),"")</f>
        <v/>
      </c>
      <c r="M199" s="3" t="str">
        <f ca="1">IFERROR(ProjectTimelineData[NUM]+1,"")</f>
        <v/>
      </c>
      <c r="N199" s="6" t="str">
        <f ca="1">IFERROR(VLOOKUP(SortedTimeline[经过排序的排名],ProjectTimelineData[],3,0),"")</f>
        <v/>
      </c>
      <c r="O199" s="2" t="str">
        <f ca="1">IFERROR(VLOOKUP(SortedTimeline[经过排序的排名],ProjectTimelineData[],4,0),"")</f>
        <v/>
      </c>
      <c r="P199" s="2" t="str">
        <f ca="1">IFERROR(VLOOKUP(SortedTimeline[经过排序的排名],ProjectTimelineData[],5,0),"")</f>
        <v/>
      </c>
    </row>
    <row r="200" spans="5:16" x14ac:dyDescent="0.3">
      <c r="E200" s="3" t="str">
        <f ca="1">IFERROR(RANK(F200,ProjectTimelineData[排名])+SUMPRODUCT(--(F200=ProjectTimelineData[排名]),--(J200&lt;ProjectTimelineData[NUM])),"")</f>
        <v/>
      </c>
      <c r="F200" s="3" t="str">
        <f ca="1">IFERROR(RANK(ProjectTimelineData[[#This Row],[日期]],ProjectTimelineData[日期],1),"")</f>
        <v/>
      </c>
      <c r="G200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00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00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00" s="2" t="str">
        <f ca="1">IFERROR(IF(ISBLANK(INDEX(ProjectDetails[#Data],ROW(A195)+1,1)),"",IF($J199-1&lt;=-1,"",$J199-1)),"")</f>
        <v/>
      </c>
      <c r="M200" s="3" t="str">
        <f ca="1">IFERROR(ProjectTimelineData[NUM]+1,"")</f>
        <v/>
      </c>
      <c r="N200" s="6" t="str">
        <f ca="1">IFERROR(VLOOKUP(SortedTimeline[经过排序的排名],ProjectTimelineData[],3,0),"")</f>
        <v/>
      </c>
      <c r="O200" s="2" t="str">
        <f ca="1">IFERROR(VLOOKUP(SortedTimeline[经过排序的排名],ProjectTimelineData[],4,0),"")</f>
        <v/>
      </c>
      <c r="P200" s="2" t="str">
        <f ca="1">IFERROR(VLOOKUP(SortedTimeline[经过排序的排名],ProjectTimelineData[],5,0),"")</f>
        <v/>
      </c>
    </row>
    <row r="201" spans="5:16" x14ac:dyDescent="0.3">
      <c r="E201" s="3" t="str">
        <f ca="1">IFERROR(RANK(F201,ProjectTimelineData[排名])+SUMPRODUCT(--(F201=ProjectTimelineData[排名]),--(J201&lt;ProjectTimelineData[NUM])),"")</f>
        <v/>
      </c>
      <c r="F201" s="3" t="str">
        <f ca="1">IFERROR(RANK(ProjectTimelineData[[#This Row],[日期]],ProjectTimelineData[日期],1),"")</f>
        <v/>
      </c>
      <c r="G201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01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01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01" s="2" t="str">
        <f ca="1">IFERROR(IF(ISBLANK(INDEX(ProjectDetails[#Data],ROW(A196)+1,1)),"",IF($J200-1&lt;=-1,"",$J200-1)),"")</f>
        <v/>
      </c>
      <c r="M201" s="3" t="str">
        <f ca="1">IFERROR(ProjectTimelineData[NUM]+1,"")</f>
        <v/>
      </c>
      <c r="N201" s="6" t="str">
        <f ca="1">IFERROR(VLOOKUP(SortedTimeline[经过排序的排名],ProjectTimelineData[],3,0),"")</f>
        <v/>
      </c>
      <c r="O201" s="2" t="str">
        <f ca="1">IFERROR(VLOOKUP(SortedTimeline[经过排序的排名],ProjectTimelineData[],4,0),"")</f>
        <v/>
      </c>
      <c r="P201" s="2" t="str">
        <f ca="1">IFERROR(VLOOKUP(SortedTimeline[经过排序的排名],ProjectTimelineData[],5,0),"")</f>
        <v/>
      </c>
    </row>
    <row r="202" spans="5:16" x14ac:dyDescent="0.3">
      <c r="E202" s="3" t="str">
        <f ca="1">IFERROR(RANK(F202,ProjectTimelineData[排名])+SUMPRODUCT(--(F202=ProjectTimelineData[排名]),--(J202&lt;ProjectTimelineData[NUM])),"")</f>
        <v/>
      </c>
      <c r="F202" s="3" t="str">
        <f ca="1">IFERROR(RANK(ProjectTimelineData[[#This Row],[日期]],ProjectTimelineData[日期],1),"")</f>
        <v/>
      </c>
      <c r="G202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02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02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02" s="2" t="str">
        <f ca="1">IFERROR(IF(ISBLANK(INDEX(ProjectDetails[#Data],ROW(A197)+1,1)),"",IF($J201-1&lt;=-1,"",$J201-1)),"")</f>
        <v/>
      </c>
      <c r="M202" s="3" t="str">
        <f ca="1">IFERROR(ProjectTimelineData[NUM]+1,"")</f>
        <v/>
      </c>
      <c r="N202" s="6" t="str">
        <f ca="1">IFERROR(VLOOKUP(SortedTimeline[经过排序的排名],ProjectTimelineData[],3,0),"")</f>
        <v/>
      </c>
      <c r="O202" s="2" t="str">
        <f ca="1">IFERROR(VLOOKUP(SortedTimeline[经过排序的排名],ProjectTimelineData[],4,0),"")</f>
        <v/>
      </c>
      <c r="P202" s="2" t="str">
        <f ca="1">IFERROR(VLOOKUP(SortedTimeline[经过排序的排名],ProjectTimelineData[],5,0),"")</f>
        <v/>
      </c>
    </row>
    <row r="203" spans="5:16" x14ac:dyDescent="0.3">
      <c r="E203" s="3" t="str">
        <f ca="1">IFERROR(RANK(F203,ProjectTimelineData[排名])+SUMPRODUCT(--(F203=ProjectTimelineData[排名]),--(J203&lt;ProjectTimelineData[NUM])),"")</f>
        <v/>
      </c>
      <c r="F203" s="3" t="str">
        <f ca="1">IFERROR(RANK(ProjectTimelineData[[#This Row],[日期]],ProjectTimelineData[日期],1),"")</f>
        <v/>
      </c>
      <c r="G203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03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03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03" s="2" t="str">
        <f ca="1">IFERROR(IF(ISBLANK(INDEX(ProjectDetails[#Data],ROW(A198)+1,1)),"",IF($J202-1&lt;=-1,"",$J202-1)),"")</f>
        <v/>
      </c>
      <c r="M203" s="3" t="str">
        <f ca="1">IFERROR(ProjectTimelineData[NUM]+1,"")</f>
        <v/>
      </c>
      <c r="N203" s="6" t="str">
        <f ca="1">IFERROR(VLOOKUP(SortedTimeline[经过排序的排名],ProjectTimelineData[],3,0),"")</f>
        <v/>
      </c>
      <c r="O203" s="2" t="str">
        <f ca="1">IFERROR(VLOOKUP(SortedTimeline[经过排序的排名],ProjectTimelineData[],4,0),"")</f>
        <v/>
      </c>
      <c r="P203" s="2" t="str">
        <f ca="1">IFERROR(VLOOKUP(SortedTimeline[经过排序的排名],ProjectTimelineData[],5,0),"")</f>
        <v/>
      </c>
    </row>
    <row r="204" spans="5:16" x14ac:dyDescent="0.3">
      <c r="E204" s="3" t="str">
        <f ca="1">IFERROR(RANK(F204,ProjectTimelineData[排名])+SUMPRODUCT(--(F204=ProjectTimelineData[排名]),--(J204&lt;ProjectTimelineData[NUM])),"")</f>
        <v/>
      </c>
      <c r="F204" s="3" t="str">
        <f ca="1">IFERROR(RANK(ProjectTimelineData[[#This Row],[日期]],ProjectTimelineData[日期],1),"")</f>
        <v/>
      </c>
      <c r="G204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04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04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04" s="2" t="str">
        <f ca="1">IFERROR(IF(ISBLANK(INDEX(ProjectDetails[#Data],ROW(A199)+1,1)),"",IF($J203-1&lt;=-1,"",$J203-1)),"")</f>
        <v/>
      </c>
      <c r="M204" s="3" t="str">
        <f ca="1">IFERROR(ProjectTimelineData[NUM]+1,"")</f>
        <v/>
      </c>
      <c r="N204" s="6" t="str">
        <f ca="1">IFERROR(VLOOKUP(SortedTimeline[经过排序的排名],ProjectTimelineData[],3,0),"")</f>
        <v/>
      </c>
      <c r="O204" s="2" t="str">
        <f ca="1">IFERROR(VLOOKUP(SortedTimeline[经过排序的排名],ProjectTimelineData[],4,0),"")</f>
        <v/>
      </c>
      <c r="P204" s="2" t="str">
        <f ca="1">IFERROR(VLOOKUP(SortedTimeline[经过排序的排名],ProjectTimelineData[],5,0),"")</f>
        <v/>
      </c>
    </row>
    <row r="205" spans="5:16" x14ac:dyDescent="0.3">
      <c r="E205" s="3" t="str">
        <f ca="1">IFERROR(RANK(F205,ProjectTimelineData[排名])+SUMPRODUCT(--(F205=ProjectTimelineData[排名]),--(J205&lt;ProjectTimelineData[NUM])),"")</f>
        <v/>
      </c>
      <c r="F205" s="3" t="str">
        <f ca="1">IFERROR(RANK(ProjectTimelineData[[#This Row],[日期]],ProjectTimelineData[日期],1),"")</f>
        <v/>
      </c>
      <c r="G205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05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05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05" s="2" t="str">
        <f ca="1">IFERROR(IF(ISBLANK(INDEX(ProjectDetails[#Data],ROW(A200)+1,1)),"",IF($J204-1&lt;=-1,"",$J204-1)),"")</f>
        <v/>
      </c>
      <c r="M205" s="3" t="str">
        <f ca="1">IFERROR(ProjectTimelineData[NUM]+1,"")</f>
        <v/>
      </c>
      <c r="N205" s="6" t="str">
        <f ca="1">IFERROR(VLOOKUP(SortedTimeline[经过排序的排名],ProjectTimelineData[],3,0),"")</f>
        <v/>
      </c>
      <c r="O205" s="2" t="str">
        <f ca="1">IFERROR(VLOOKUP(SortedTimeline[经过排序的排名],ProjectTimelineData[],4,0),"")</f>
        <v/>
      </c>
      <c r="P205" s="2" t="str">
        <f ca="1">IFERROR(VLOOKUP(SortedTimeline[经过排序的排名],ProjectTimelineData[],5,0),"")</f>
        <v/>
      </c>
    </row>
    <row r="206" spans="5:16" x14ac:dyDescent="0.3">
      <c r="E206" s="3" t="str">
        <f ca="1">IFERROR(RANK(F206,ProjectTimelineData[排名])+SUMPRODUCT(--(F206=ProjectTimelineData[排名]),--(J206&lt;ProjectTimelineData[NUM])),"")</f>
        <v/>
      </c>
      <c r="F206" s="3" t="str">
        <f ca="1">IFERROR(RANK(ProjectTimelineData[[#This Row],[日期]],ProjectTimelineData[日期],1),"")</f>
        <v/>
      </c>
      <c r="G206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0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06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06" s="2" t="str">
        <f ca="1">IFERROR(IF(ISBLANK(INDEX(ProjectDetails[#Data],ROW(A201)+1,1)),"",IF($J205-1&lt;=-1,"",$J205-1)),"")</f>
        <v/>
      </c>
      <c r="M206" s="3" t="str">
        <f ca="1">IFERROR(ProjectTimelineData[NUM]+1,"")</f>
        <v/>
      </c>
      <c r="N206" s="6" t="str">
        <f ca="1">IFERROR(VLOOKUP(SortedTimeline[经过排序的排名],ProjectTimelineData[],3,0),"")</f>
        <v/>
      </c>
      <c r="O206" s="2" t="str">
        <f ca="1">IFERROR(VLOOKUP(SortedTimeline[经过排序的排名],ProjectTimelineData[],4,0),"")</f>
        <v/>
      </c>
      <c r="P206" s="2" t="str">
        <f ca="1">IFERROR(VLOOKUP(SortedTimeline[经过排序的排名],ProjectTimelineData[],5,0),"")</f>
        <v/>
      </c>
    </row>
    <row r="207" spans="5:16" x14ac:dyDescent="0.3">
      <c r="E207" s="3" t="str">
        <f ca="1">IFERROR(RANK(F207,ProjectTimelineData[排名])+SUMPRODUCT(--(F207=ProjectTimelineData[排名]),--(J207&lt;ProjectTimelineData[NUM])),"")</f>
        <v/>
      </c>
      <c r="F207" s="3" t="str">
        <f ca="1">IFERROR(RANK(ProjectTimelineData[[#This Row],[日期]],ProjectTimelineData[日期],1),"")</f>
        <v/>
      </c>
      <c r="G207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0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07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07" s="2" t="str">
        <f ca="1">IFERROR(IF(ISBLANK(INDEX(ProjectDetails[#Data],ROW(A202)+1,1)),"",IF($J206-1&lt;=-1,"",$J206-1)),"")</f>
        <v/>
      </c>
      <c r="M207" s="3" t="str">
        <f ca="1">IFERROR(ProjectTimelineData[NUM]+1,"")</f>
        <v/>
      </c>
      <c r="N207" s="6" t="str">
        <f ca="1">IFERROR(VLOOKUP(SortedTimeline[经过排序的排名],ProjectTimelineData[],3,0),"")</f>
        <v/>
      </c>
      <c r="O207" s="2" t="str">
        <f ca="1">IFERROR(VLOOKUP(SortedTimeline[经过排序的排名],ProjectTimelineData[],4,0),"")</f>
        <v/>
      </c>
      <c r="P207" s="2" t="str">
        <f ca="1">IFERROR(VLOOKUP(SortedTimeline[经过排序的排名],ProjectTimelineData[],5,0),"")</f>
        <v/>
      </c>
    </row>
    <row r="208" spans="5:16" x14ac:dyDescent="0.3">
      <c r="E208" s="3" t="str">
        <f ca="1">IFERROR(RANK(F208,ProjectTimelineData[排名])+SUMPRODUCT(--(F208=ProjectTimelineData[排名]),--(J208&lt;ProjectTimelineData[NUM])),"")</f>
        <v/>
      </c>
      <c r="F208" s="3" t="str">
        <f ca="1">IFERROR(RANK(ProjectTimelineData[[#This Row],[日期]],ProjectTimelineData[日期],1),"")</f>
        <v/>
      </c>
      <c r="G208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0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08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08" s="2" t="str">
        <f ca="1">IFERROR(IF(ISBLANK(INDEX(ProjectDetails[#Data],ROW(A203)+1,1)),"",IF($J207-1&lt;=-1,"",$J207-1)),"")</f>
        <v/>
      </c>
      <c r="M208" s="3" t="str">
        <f ca="1">IFERROR(ProjectTimelineData[NUM]+1,"")</f>
        <v/>
      </c>
      <c r="N208" s="6" t="str">
        <f ca="1">IFERROR(VLOOKUP(SortedTimeline[经过排序的排名],ProjectTimelineData[],3,0),"")</f>
        <v/>
      </c>
      <c r="O208" s="2" t="str">
        <f ca="1">IFERROR(VLOOKUP(SortedTimeline[经过排序的排名],ProjectTimelineData[],4,0),"")</f>
        <v/>
      </c>
      <c r="P208" s="2" t="str">
        <f ca="1">IFERROR(VLOOKUP(SortedTimeline[经过排序的排名],ProjectTimelineData[],5,0),"")</f>
        <v/>
      </c>
    </row>
    <row r="209" spans="5:16" x14ac:dyDescent="0.3">
      <c r="E209" s="3" t="str">
        <f ca="1">IFERROR(RANK(F209,ProjectTimelineData[排名])+SUMPRODUCT(--(F209=ProjectTimelineData[排名]),--(J209&lt;ProjectTimelineData[NUM])),"")</f>
        <v/>
      </c>
      <c r="F209" s="3" t="str">
        <f ca="1">IFERROR(RANK(ProjectTimelineData[[#This Row],[日期]],ProjectTimelineData[日期],1),"")</f>
        <v/>
      </c>
      <c r="G209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0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09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09" s="2" t="str">
        <f ca="1">IFERROR(IF(ISBLANK(INDEX(ProjectDetails[#Data],ROW(A204)+1,1)),"",IF($J208-1&lt;=-1,"",$J208-1)),"")</f>
        <v/>
      </c>
      <c r="M209" s="3" t="str">
        <f ca="1">IFERROR(ProjectTimelineData[NUM]+1,"")</f>
        <v/>
      </c>
      <c r="N209" s="6" t="str">
        <f ca="1">IFERROR(VLOOKUP(SortedTimeline[经过排序的排名],ProjectTimelineData[],3,0),"")</f>
        <v/>
      </c>
      <c r="O209" s="2" t="str">
        <f ca="1">IFERROR(VLOOKUP(SortedTimeline[经过排序的排名],ProjectTimelineData[],4,0),"")</f>
        <v/>
      </c>
      <c r="P209" s="2" t="str">
        <f ca="1">IFERROR(VLOOKUP(SortedTimeline[经过排序的排名],ProjectTimelineData[],5,0),"")</f>
        <v/>
      </c>
    </row>
    <row r="210" spans="5:16" x14ac:dyDescent="0.3">
      <c r="E210" s="3" t="str">
        <f ca="1">IFERROR(RANK(F210,ProjectTimelineData[排名])+SUMPRODUCT(--(F210=ProjectTimelineData[排名]),--(J210&lt;ProjectTimelineData[NUM])),"")</f>
        <v/>
      </c>
      <c r="F210" s="3" t="str">
        <f ca="1">IFERROR(RANK(ProjectTimelineData[[#This Row],[日期]],ProjectTimelineData[日期],1),"")</f>
        <v/>
      </c>
      <c r="G210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10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10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10" s="2" t="str">
        <f ca="1">IFERROR(IF(ISBLANK(INDEX(ProjectDetails[#Data],ROW(A205)+1,1)),"",IF($J209-1&lt;=-1,"",$J209-1)),"")</f>
        <v/>
      </c>
      <c r="M210" s="3" t="str">
        <f ca="1">IFERROR(ProjectTimelineData[NUM]+1,"")</f>
        <v/>
      </c>
      <c r="N210" s="6" t="str">
        <f ca="1">IFERROR(VLOOKUP(SortedTimeline[经过排序的排名],ProjectTimelineData[],3,0),"")</f>
        <v/>
      </c>
      <c r="O210" s="2" t="str">
        <f ca="1">IFERROR(VLOOKUP(SortedTimeline[经过排序的排名],ProjectTimelineData[],4,0),"")</f>
        <v/>
      </c>
      <c r="P210" s="2" t="str">
        <f ca="1">IFERROR(VLOOKUP(SortedTimeline[经过排序的排名],ProjectTimelineData[],5,0),"")</f>
        <v/>
      </c>
    </row>
    <row r="211" spans="5:16" x14ac:dyDescent="0.3">
      <c r="E211" s="3" t="str">
        <f ca="1">IFERROR(RANK(F211,ProjectTimelineData[排名])+SUMPRODUCT(--(F211=ProjectTimelineData[排名]),--(J211&lt;ProjectTimelineData[NUM])),"")</f>
        <v/>
      </c>
      <c r="F211" s="3" t="str">
        <f ca="1">IFERROR(RANK(ProjectTimelineData[[#This Row],[日期]],ProjectTimelineData[日期],1),"")</f>
        <v/>
      </c>
      <c r="G211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11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11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11" s="2" t="str">
        <f ca="1">IFERROR(IF(ISBLANK(INDEX(ProjectDetails[#Data],ROW(A206)+1,1)),"",IF($J210-1&lt;=-1,"",$J210-1)),"")</f>
        <v/>
      </c>
      <c r="M211" s="3" t="str">
        <f ca="1">IFERROR(ProjectTimelineData[NUM]+1,"")</f>
        <v/>
      </c>
      <c r="N211" s="6" t="str">
        <f ca="1">IFERROR(VLOOKUP(SortedTimeline[经过排序的排名],ProjectTimelineData[],3,0),"")</f>
        <v/>
      </c>
      <c r="O211" s="2" t="str">
        <f ca="1">IFERROR(VLOOKUP(SortedTimeline[经过排序的排名],ProjectTimelineData[],4,0),"")</f>
        <v/>
      </c>
      <c r="P211" s="2" t="str">
        <f ca="1">IFERROR(VLOOKUP(SortedTimeline[经过排序的排名],ProjectTimelineData[],5,0),"")</f>
        <v/>
      </c>
    </row>
    <row r="212" spans="5:16" x14ac:dyDescent="0.3">
      <c r="E212" s="3" t="str">
        <f ca="1">IFERROR(RANK(F212,ProjectTimelineData[排名])+SUMPRODUCT(--(F212=ProjectTimelineData[排名]),--(J212&lt;ProjectTimelineData[NUM])),"")</f>
        <v/>
      </c>
      <c r="F212" s="3" t="str">
        <f ca="1">IFERROR(RANK(ProjectTimelineData[[#This Row],[日期]],ProjectTimelineData[日期],1),"")</f>
        <v/>
      </c>
      <c r="G212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12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12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12" s="2" t="str">
        <f ca="1">IFERROR(IF(ISBLANK(INDEX(ProjectDetails[#Data],ROW(A207)+1,1)),"",IF($J211-1&lt;=-1,"",$J211-1)),"")</f>
        <v/>
      </c>
      <c r="M212" s="3" t="str">
        <f ca="1">IFERROR(ProjectTimelineData[NUM]+1,"")</f>
        <v/>
      </c>
      <c r="N212" s="6" t="str">
        <f ca="1">IFERROR(VLOOKUP(SortedTimeline[经过排序的排名],ProjectTimelineData[],3,0),"")</f>
        <v/>
      </c>
      <c r="O212" s="2" t="str">
        <f ca="1">IFERROR(VLOOKUP(SortedTimeline[经过排序的排名],ProjectTimelineData[],4,0),"")</f>
        <v/>
      </c>
      <c r="P212" s="2" t="str">
        <f ca="1">IFERROR(VLOOKUP(SortedTimeline[经过排序的排名],ProjectTimelineData[],5,0),"")</f>
        <v/>
      </c>
    </row>
    <row r="213" spans="5:16" x14ac:dyDescent="0.3">
      <c r="E213" s="3" t="str">
        <f ca="1">IFERROR(RANK(F213,ProjectTimelineData[排名])+SUMPRODUCT(--(F213=ProjectTimelineData[排名]),--(J213&lt;ProjectTimelineData[NUM])),"")</f>
        <v/>
      </c>
      <c r="F213" s="3" t="str">
        <f ca="1">IFERROR(RANK(ProjectTimelineData[[#This Row],[日期]],ProjectTimelineData[日期],1),"")</f>
        <v/>
      </c>
      <c r="G213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13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13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13" s="2" t="str">
        <f ca="1">IFERROR(IF(ISBLANK(INDEX(ProjectDetails[#Data],ROW(A208)+1,1)),"",IF($J212-1&lt;=-1,"",$J212-1)),"")</f>
        <v/>
      </c>
      <c r="M213" s="3" t="str">
        <f ca="1">IFERROR(ProjectTimelineData[NUM]+1,"")</f>
        <v/>
      </c>
      <c r="N213" s="6" t="str">
        <f ca="1">IFERROR(VLOOKUP(SortedTimeline[经过排序的排名],ProjectTimelineData[],3,0),"")</f>
        <v/>
      </c>
      <c r="O213" s="2" t="str">
        <f ca="1">IFERROR(VLOOKUP(SortedTimeline[经过排序的排名],ProjectTimelineData[],4,0),"")</f>
        <v/>
      </c>
      <c r="P213" s="2" t="str">
        <f ca="1">IFERROR(VLOOKUP(SortedTimeline[经过排序的排名],ProjectTimelineData[],5,0),"")</f>
        <v/>
      </c>
    </row>
    <row r="214" spans="5:16" x14ac:dyDescent="0.3">
      <c r="E214" s="3" t="str">
        <f ca="1">IFERROR(RANK(F214,ProjectTimelineData[排名])+SUMPRODUCT(--(F214=ProjectTimelineData[排名]),--(J214&lt;ProjectTimelineData[NUM])),"")</f>
        <v/>
      </c>
      <c r="F214" s="3" t="str">
        <f ca="1">IFERROR(RANK(ProjectTimelineData[[#This Row],[日期]],ProjectTimelineData[日期],1),"")</f>
        <v/>
      </c>
      <c r="G214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14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14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14" s="2" t="str">
        <f ca="1">IFERROR(IF(ISBLANK(INDEX(ProjectDetails[#Data],ROW(A209)+1,1)),"",IF($J213-1&lt;=-1,"",$J213-1)),"")</f>
        <v/>
      </c>
      <c r="M214" s="3" t="str">
        <f ca="1">IFERROR(ProjectTimelineData[NUM]+1,"")</f>
        <v/>
      </c>
      <c r="N214" s="6" t="str">
        <f ca="1">IFERROR(VLOOKUP(SortedTimeline[经过排序的排名],ProjectTimelineData[],3,0),"")</f>
        <v/>
      </c>
      <c r="O214" s="2" t="str">
        <f ca="1">IFERROR(VLOOKUP(SortedTimeline[经过排序的排名],ProjectTimelineData[],4,0),"")</f>
        <v/>
      </c>
      <c r="P214" s="2" t="str">
        <f ca="1">IFERROR(VLOOKUP(SortedTimeline[经过排序的排名],ProjectTimelineData[],5,0),"")</f>
        <v/>
      </c>
    </row>
    <row r="215" spans="5:16" x14ac:dyDescent="0.3">
      <c r="E215" s="3" t="str">
        <f ca="1">IFERROR(RANK(F215,ProjectTimelineData[排名])+SUMPRODUCT(--(F215=ProjectTimelineData[排名]),--(J215&lt;ProjectTimelineData[NUM])),"")</f>
        <v/>
      </c>
      <c r="F215" s="3" t="str">
        <f ca="1">IFERROR(RANK(ProjectTimelineData[[#This Row],[日期]],ProjectTimelineData[日期],1),"")</f>
        <v/>
      </c>
      <c r="G215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15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15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15" s="2" t="str">
        <f ca="1">IFERROR(IF(ISBLANK(INDEX(ProjectDetails[#Data],ROW(A210)+1,1)),"",IF($J214-1&lt;=-1,"",$J214-1)),"")</f>
        <v/>
      </c>
      <c r="M215" s="3" t="str">
        <f ca="1">IFERROR(ProjectTimelineData[NUM]+1,"")</f>
        <v/>
      </c>
      <c r="N215" s="6" t="str">
        <f ca="1">IFERROR(VLOOKUP(SortedTimeline[经过排序的排名],ProjectTimelineData[],3,0),"")</f>
        <v/>
      </c>
      <c r="O215" s="2" t="str">
        <f ca="1">IFERROR(VLOOKUP(SortedTimeline[经过排序的排名],ProjectTimelineData[],4,0),"")</f>
        <v/>
      </c>
      <c r="P215" s="2" t="str">
        <f ca="1">IFERROR(VLOOKUP(SortedTimeline[经过排序的排名],ProjectTimelineData[],5,0),"")</f>
        <v/>
      </c>
    </row>
    <row r="216" spans="5:16" x14ac:dyDescent="0.3">
      <c r="E216" s="3" t="str">
        <f ca="1">IFERROR(RANK(F216,ProjectTimelineData[排名])+SUMPRODUCT(--(F216=ProjectTimelineData[排名]),--(J216&lt;ProjectTimelineData[NUM])),"")</f>
        <v/>
      </c>
      <c r="F216" s="3" t="str">
        <f ca="1">IFERROR(RANK(ProjectTimelineData[[#This Row],[日期]],ProjectTimelineData[日期],1),"")</f>
        <v/>
      </c>
      <c r="G216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1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16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16" s="2" t="str">
        <f ca="1">IFERROR(IF(ISBLANK(INDEX(ProjectDetails[#Data],ROW(A211)+1,1)),"",IF($J215-1&lt;=-1,"",$J215-1)),"")</f>
        <v/>
      </c>
      <c r="M216" s="3" t="str">
        <f ca="1">IFERROR(ProjectTimelineData[NUM]+1,"")</f>
        <v/>
      </c>
      <c r="N216" s="6" t="str">
        <f ca="1">IFERROR(VLOOKUP(SortedTimeline[经过排序的排名],ProjectTimelineData[],3,0),"")</f>
        <v/>
      </c>
      <c r="O216" s="2" t="str">
        <f ca="1">IFERROR(VLOOKUP(SortedTimeline[经过排序的排名],ProjectTimelineData[],4,0),"")</f>
        <v/>
      </c>
      <c r="P216" s="2" t="str">
        <f ca="1">IFERROR(VLOOKUP(SortedTimeline[经过排序的排名],ProjectTimelineData[],5,0),"")</f>
        <v/>
      </c>
    </row>
    <row r="217" spans="5:16" x14ac:dyDescent="0.3">
      <c r="E217" s="3" t="str">
        <f ca="1">IFERROR(RANK(F217,ProjectTimelineData[排名])+SUMPRODUCT(--(F217=ProjectTimelineData[排名]),--(J217&lt;ProjectTimelineData[NUM])),"")</f>
        <v/>
      </c>
      <c r="F217" s="3" t="str">
        <f ca="1">IFERROR(RANK(ProjectTimelineData[[#This Row],[日期]],ProjectTimelineData[日期],1),"")</f>
        <v/>
      </c>
      <c r="G217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1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17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17" s="2" t="str">
        <f ca="1">IFERROR(IF(ISBLANK(INDEX(ProjectDetails[#Data],ROW(A212)+1,1)),"",IF($J216-1&lt;=-1,"",$J216-1)),"")</f>
        <v/>
      </c>
      <c r="M217" s="3" t="str">
        <f ca="1">IFERROR(ProjectTimelineData[NUM]+1,"")</f>
        <v/>
      </c>
      <c r="N217" s="6" t="str">
        <f ca="1">IFERROR(VLOOKUP(SortedTimeline[经过排序的排名],ProjectTimelineData[],3,0),"")</f>
        <v/>
      </c>
      <c r="O217" s="2" t="str">
        <f ca="1">IFERROR(VLOOKUP(SortedTimeline[经过排序的排名],ProjectTimelineData[],4,0),"")</f>
        <v/>
      </c>
      <c r="P217" s="2" t="str">
        <f ca="1">IFERROR(VLOOKUP(SortedTimeline[经过排序的排名],ProjectTimelineData[],5,0),"")</f>
        <v/>
      </c>
    </row>
    <row r="218" spans="5:16" x14ac:dyDescent="0.3">
      <c r="E218" s="3" t="str">
        <f ca="1">IFERROR(RANK(F218,ProjectTimelineData[排名])+SUMPRODUCT(--(F218=ProjectTimelineData[排名]),--(J218&lt;ProjectTimelineData[NUM])),"")</f>
        <v/>
      </c>
      <c r="F218" s="3" t="str">
        <f ca="1">IFERROR(RANK(ProjectTimelineData[[#This Row],[日期]],ProjectTimelineData[日期],1),"")</f>
        <v/>
      </c>
      <c r="G218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1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18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18" s="2" t="str">
        <f ca="1">IFERROR(IF(ISBLANK(INDEX(ProjectDetails[#Data],ROW(A213)+1,1)),"",IF($J217-1&lt;=-1,"",$J217-1)),"")</f>
        <v/>
      </c>
      <c r="M218" s="3" t="str">
        <f ca="1">IFERROR(ProjectTimelineData[NUM]+1,"")</f>
        <v/>
      </c>
      <c r="N218" s="6" t="str">
        <f ca="1">IFERROR(VLOOKUP(SortedTimeline[经过排序的排名],ProjectTimelineData[],3,0),"")</f>
        <v/>
      </c>
      <c r="O218" s="2" t="str">
        <f ca="1">IFERROR(VLOOKUP(SortedTimeline[经过排序的排名],ProjectTimelineData[],4,0),"")</f>
        <v/>
      </c>
      <c r="P218" s="2" t="str">
        <f ca="1">IFERROR(VLOOKUP(SortedTimeline[经过排序的排名],ProjectTimelineData[],5,0),"")</f>
        <v/>
      </c>
    </row>
    <row r="219" spans="5:16" x14ac:dyDescent="0.3">
      <c r="E219" s="3" t="str">
        <f ca="1">IFERROR(RANK(F219,ProjectTimelineData[排名])+SUMPRODUCT(--(F219=ProjectTimelineData[排名]),--(J219&lt;ProjectTimelineData[NUM])),"")</f>
        <v/>
      </c>
      <c r="F219" s="3" t="str">
        <f ca="1">IFERROR(RANK(ProjectTimelineData[[#This Row],[日期]],ProjectTimelineData[日期],1),"")</f>
        <v/>
      </c>
      <c r="G219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1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19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19" s="2" t="str">
        <f ca="1">IFERROR(IF(ISBLANK(INDEX(ProjectDetails[#Data],ROW(A214)+1,1)),"",IF($J218-1&lt;=-1,"",$J218-1)),"")</f>
        <v/>
      </c>
      <c r="M219" s="3" t="str">
        <f ca="1">IFERROR(ProjectTimelineData[NUM]+1,"")</f>
        <v/>
      </c>
      <c r="N219" s="6" t="str">
        <f ca="1">IFERROR(VLOOKUP(SortedTimeline[经过排序的排名],ProjectTimelineData[],3,0),"")</f>
        <v/>
      </c>
      <c r="O219" s="2" t="str">
        <f ca="1">IFERROR(VLOOKUP(SortedTimeline[经过排序的排名],ProjectTimelineData[],4,0),"")</f>
        <v/>
      </c>
      <c r="P219" s="2" t="str">
        <f ca="1">IFERROR(VLOOKUP(SortedTimeline[经过排序的排名],ProjectTimelineData[],5,0),"")</f>
        <v/>
      </c>
    </row>
    <row r="220" spans="5:16" x14ac:dyDescent="0.3">
      <c r="E220" s="3" t="str">
        <f ca="1">IFERROR(RANK(F220,ProjectTimelineData[排名])+SUMPRODUCT(--(F220=ProjectTimelineData[排名]),--(J220&lt;ProjectTimelineData[NUM])),"")</f>
        <v/>
      </c>
      <c r="F220" s="3" t="str">
        <f ca="1">IFERROR(RANK(ProjectTimelineData[[#This Row],[日期]],ProjectTimelineData[日期],1),"")</f>
        <v/>
      </c>
      <c r="G220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20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20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20" s="2" t="str">
        <f ca="1">IFERROR(IF(ISBLANK(INDEX(ProjectDetails[#Data],ROW(A215)+1,1)),"",IF($J219-1&lt;=-1,"",$J219-1)),"")</f>
        <v/>
      </c>
      <c r="M220" s="3" t="str">
        <f ca="1">IFERROR(ProjectTimelineData[NUM]+1,"")</f>
        <v/>
      </c>
      <c r="N220" s="6" t="str">
        <f ca="1">IFERROR(VLOOKUP(SortedTimeline[经过排序的排名],ProjectTimelineData[],3,0),"")</f>
        <v/>
      </c>
      <c r="O220" s="2" t="str">
        <f ca="1">IFERROR(VLOOKUP(SortedTimeline[经过排序的排名],ProjectTimelineData[],4,0),"")</f>
        <v/>
      </c>
      <c r="P220" s="2" t="str">
        <f ca="1">IFERROR(VLOOKUP(SortedTimeline[经过排序的排名],ProjectTimelineData[],5,0),"")</f>
        <v/>
      </c>
    </row>
    <row r="221" spans="5:16" x14ac:dyDescent="0.3">
      <c r="E221" s="3" t="str">
        <f ca="1">IFERROR(RANK(F221,ProjectTimelineData[排名])+SUMPRODUCT(--(F221=ProjectTimelineData[排名]),--(J221&lt;ProjectTimelineData[NUM])),"")</f>
        <v/>
      </c>
      <c r="F221" s="3" t="str">
        <f ca="1">IFERROR(RANK(ProjectTimelineData[[#This Row],[日期]],ProjectTimelineData[日期],1),"")</f>
        <v/>
      </c>
      <c r="G221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21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21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21" s="2" t="str">
        <f ca="1">IFERROR(IF(ISBLANK(INDEX(ProjectDetails[#Data],ROW(A216)+1,1)),"",IF($J220-1&lt;=-1,"",$J220-1)),"")</f>
        <v/>
      </c>
      <c r="M221" s="3" t="str">
        <f ca="1">IFERROR(ProjectTimelineData[NUM]+1,"")</f>
        <v/>
      </c>
      <c r="N221" s="6" t="str">
        <f ca="1">IFERROR(VLOOKUP(SortedTimeline[经过排序的排名],ProjectTimelineData[],3,0),"")</f>
        <v/>
      </c>
      <c r="O221" s="2" t="str">
        <f ca="1">IFERROR(VLOOKUP(SortedTimeline[经过排序的排名],ProjectTimelineData[],4,0),"")</f>
        <v/>
      </c>
      <c r="P221" s="2" t="str">
        <f ca="1">IFERROR(VLOOKUP(SortedTimeline[经过排序的排名],ProjectTimelineData[],5,0),"")</f>
        <v/>
      </c>
    </row>
    <row r="222" spans="5:16" x14ac:dyDescent="0.3">
      <c r="E222" s="3" t="str">
        <f ca="1">IFERROR(RANK(F222,ProjectTimelineData[排名])+SUMPRODUCT(--(F222=ProjectTimelineData[排名]),--(J222&lt;ProjectTimelineData[NUM])),"")</f>
        <v/>
      </c>
      <c r="F222" s="3" t="str">
        <f ca="1">IFERROR(RANK(ProjectTimelineData[[#This Row],[日期]],ProjectTimelineData[日期],1),"")</f>
        <v/>
      </c>
      <c r="G222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22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22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22" s="2" t="str">
        <f ca="1">IFERROR(IF(ISBLANK(INDEX(ProjectDetails[#Data],ROW(A217)+1,1)),"",IF($J221-1&lt;=-1,"",$J221-1)),"")</f>
        <v/>
      </c>
      <c r="M222" s="3" t="str">
        <f ca="1">IFERROR(ProjectTimelineData[NUM]+1,"")</f>
        <v/>
      </c>
      <c r="N222" s="6" t="str">
        <f ca="1">IFERROR(VLOOKUP(SortedTimeline[经过排序的排名],ProjectTimelineData[],3,0),"")</f>
        <v/>
      </c>
      <c r="O222" s="2" t="str">
        <f ca="1">IFERROR(VLOOKUP(SortedTimeline[经过排序的排名],ProjectTimelineData[],4,0),"")</f>
        <v/>
      </c>
      <c r="P222" s="2" t="str">
        <f ca="1">IFERROR(VLOOKUP(SortedTimeline[经过排序的排名],ProjectTimelineData[],5,0),"")</f>
        <v/>
      </c>
    </row>
    <row r="223" spans="5:16" x14ac:dyDescent="0.3">
      <c r="E223" s="3" t="str">
        <f ca="1">IFERROR(RANK(F223,ProjectTimelineData[排名])+SUMPRODUCT(--(F223=ProjectTimelineData[排名]),--(J223&lt;ProjectTimelineData[NUM])),"")</f>
        <v/>
      </c>
      <c r="F223" s="3" t="str">
        <f ca="1">IFERROR(RANK(ProjectTimelineData[[#This Row],[日期]],ProjectTimelineData[日期],1),"")</f>
        <v/>
      </c>
      <c r="G223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23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23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23" s="2" t="str">
        <f ca="1">IFERROR(IF(ISBLANK(INDEX(ProjectDetails[#Data],ROW(A218)+1,1)),"",IF($J222-1&lt;=-1,"",$J222-1)),"")</f>
        <v/>
      </c>
      <c r="M223" s="3" t="str">
        <f ca="1">IFERROR(ProjectTimelineData[NUM]+1,"")</f>
        <v/>
      </c>
      <c r="N223" s="6" t="str">
        <f ca="1">IFERROR(VLOOKUP(SortedTimeline[经过排序的排名],ProjectTimelineData[],3,0),"")</f>
        <v/>
      </c>
      <c r="O223" s="2" t="str">
        <f ca="1">IFERROR(VLOOKUP(SortedTimeline[经过排序的排名],ProjectTimelineData[],4,0),"")</f>
        <v/>
      </c>
      <c r="P223" s="2" t="str">
        <f ca="1">IFERROR(VLOOKUP(SortedTimeline[经过排序的排名],ProjectTimelineData[],5,0),"")</f>
        <v/>
      </c>
    </row>
    <row r="224" spans="5:16" x14ac:dyDescent="0.3">
      <c r="E224" s="3" t="str">
        <f ca="1">IFERROR(RANK(F224,ProjectTimelineData[排名])+SUMPRODUCT(--(F224=ProjectTimelineData[排名]),--(J224&lt;ProjectTimelineData[NUM])),"")</f>
        <v/>
      </c>
      <c r="F224" s="3" t="str">
        <f ca="1">IFERROR(RANK(ProjectTimelineData[[#This Row],[日期]],ProjectTimelineData[日期],1),"")</f>
        <v/>
      </c>
      <c r="G224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24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24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24" s="2" t="str">
        <f ca="1">IFERROR(IF(ISBLANK(INDEX(ProjectDetails[#Data],ROW(A219)+1,1)),"",IF($J223-1&lt;=-1,"",$J223-1)),"")</f>
        <v/>
      </c>
      <c r="M224" s="3" t="str">
        <f ca="1">IFERROR(ProjectTimelineData[NUM]+1,"")</f>
        <v/>
      </c>
      <c r="N224" s="6" t="str">
        <f ca="1">IFERROR(VLOOKUP(SortedTimeline[经过排序的排名],ProjectTimelineData[],3,0),"")</f>
        <v/>
      </c>
      <c r="O224" s="2" t="str">
        <f ca="1">IFERROR(VLOOKUP(SortedTimeline[经过排序的排名],ProjectTimelineData[],4,0),"")</f>
        <v/>
      </c>
      <c r="P224" s="2" t="str">
        <f ca="1">IFERROR(VLOOKUP(SortedTimeline[经过排序的排名],ProjectTimelineData[],5,0),"")</f>
        <v/>
      </c>
    </row>
    <row r="225" spans="5:16" x14ac:dyDescent="0.3">
      <c r="E225" s="3" t="str">
        <f ca="1">IFERROR(RANK(F225,ProjectTimelineData[排名])+SUMPRODUCT(--(F225=ProjectTimelineData[排名]),--(J225&lt;ProjectTimelineData[NUM])),"")</f>
        <v/>
      </c>
      <c r="F225" s="3" t="str">
        <f ca="1">IFERROR(RANK(ProjectTimelineData[[#This Row],[日期]],ProjectTimelineData[日期],1),"")</f>
        <v/>
      </c>
      <c r="G225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25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25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25" s="2" t="str">
        <f ca="1">IFERROR(IF(ISBLANK(INDEX(ProjectDetails[#Data],ROW(A220)+1,1)),"",IF($J224-1&lt;=-1,"",$J224-1)),"")</f>
        <v/>
      </c>
      <c r="M225" s="3" t="str">
        <f ca="1">IFERROR(ProjectTimelineData[NUM]+1,"")</f>
        <v/>
      </c>
      <c r="N225" s="6" t="str">
        <f ca="1">IFERROR(VLOOKUP(SortedTimeline[经过排序的排名],ProjectTimelineData[],3,0),"")</f>
        <v/>
      </c>
      <c r="O225" s="2" t="str">
        <f ca="1">IFERROR(VLOOKUP(SortedTimeline[经过排序的排名],ProjectTimelineData[],4,0),"")</f>
        <v/>
      </c>
      <c r="P225" s="2" t="str">
        <f ca="1">IFERROR(VLOOKUP(SortedTimeline[经过排序的排名],ProjectTimelineData[],5,0),"")</f>
        <v/>
      </c>
    </row>
    <row r="226" spans="5:16" x14ac:dyDescent="0.3">
      <c r="E226" s="3" t="str">
        <f ca="1">IFERROR(RANK(F226,ProjectTimelineData[排名])+SUMPRODUCT(--(F226=ProjectTimelineData[排名]),--(J226&lt;ProjectTimelineData[NUM])),"")</f>
        <v/>
      </c>
      <c r="F226" s="3" t="str">
        <f ca="1">IFERROR(RANK(ProjectTimelineData[[#This Row],[日期]],ProjectTimelineData[日期],1),"")</f>
        <v/>
      </c>
      <c r="G226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2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26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26" s="2" t="str">
        <f ca="1">IFERROR(IF(ISBLANK(INDEX(ProjectDetails[#Data],ROW(A221)+1,1)),"",IF($J225-1&lt;=-1,"",$J225-1)),"")</f>
        <v/>
      </c>
      <c r="M226" s="3" t="str">
        <f ca="1">IFERROR(ProjectTimelineData[NUM]+1,"")</f>
        <v/>
      </c>
      <c r="N226" s="6" t="str">
        <f ca="1">IFERROR(VLOOKUP(SortedTimeline[经过排序的排名],ProjectTimelineData[],3,0),"")</f>
        <v/>
      </c>
      <c r="O226" s="2" t="str">
        <f ca="1">IFERROR(VLOOKUP(SortedTimeline[经过排序的排名],ProjectTimelineData[],4,0),"")</f>
        <v/>
      </c>
      <c r="P226" s="2" t="str">
        <f ca="1">IFERROR(VLOOKUP(SortedTimeline[经过排序的排名],ProjectTimelineData[],5,0),"")</f>
        <v/>
      </c>
    </row>
    <row r="227" spans="5:16" x14ac:dyDescent="0.3">
      <c r="E227" s="3" t="str">
        <f ca="1">IFERROR(RANK(F227,ProjectTimelineData[排名])+SUMPRODUCT(--(F227=ProjectTimelineData[排名]),--(J227&lt;ProjectTimelineData[NUM])),"")</f>
        <v/>
      </c>
      <c r="F227" s="3" t="str">
        <f ca="1">IFERROR(RANK(ProjectTimelineData[[#This Row],[日期]],ProjectTimelineData[日期],1),"")</f>
        <v/>
      </c>
      <c r="G227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2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27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27" s="2" t="str">
        <f ca="1">IFERROR(IF(ISBLANK(INDEX(ProjectDetails[#Data],ROW(A222)+1,1)),"",IF($J226-1&lt;=-1,"",$J226-1)),"")</f>
        <v/>
      </c>
      <c r="M227" s="3" t="str">
        <f ca="1">IFERROR(ProjectTimelineData[NUM]+1,"")</f>
        <v/>
      </c>
      <c r="N227" s="6" t="str">
        <f ca="1">IFERROR(VLOOKUP(SortedTimeline[经过排序的排名],ProjectTimelineData[],3,0),"")</f>
        <v/>
      </c>
      <c r="O227" s="2" t="str">
        <f ca="1">IFERROR(VLOOKUP(SortedTimeline[经过排序的排名],ProjectTimelineData[],4,0),"")</f>
        <v/>
      </c>
      <c r="P227" s="2" t="str">
        <f ca="1">IFERROR(VLOOKUP(SortedTimeline[经过排序的排名],ProjectTimelineData[],5,0),"")</f>
        <v/>
      </c>
    </row>
    <row r="228" spans="5:16" x14ac:dyDescent="0.3">
      <c r="E228" s="3" t="str">
        <f ca="1">IFERROR(RANK(F228,ProjectTimelineData[排名])+SUMPRODUCT(--(F228=ProjectTimelineData[排名]),--(J228&lt;ProjectTimelineData[NUM])),"")</f>
        <v/>
      </c>
      <c r="F228" s="3" t="str">
        <f ca="1">IFERROR(RANK(ProjectTimelineData[[#This Row],[日期]],ProjectTimelineData[日期],1),"")</f>
        <v/>
      </c>
      <c r="G228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2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28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28" s="2" t="str">
        <f ca="1">IFERROR(IF(ISBLANK(INDEX(ProjectDetails[#Data],ROW(A223)+1,1)),"",IF($J227-1&lt;=-1,"",$J227-1)),"")</f>
        <v/>
      </c>
      <c r="M228" s="3" t="str">
        <f ca="1">IFERROR(ProjectTimelineData[NUM]+1,"")</f>
        <v/>
      </c>
      <c r="N228" s="6" t="str">
        <f ca="1">IFERROR(VLOOKUP(SortedTimeline[经过排序的排名],ProjectTimelineData[],3,0),"")</f>
        <v/>
      </c>
      <c r="O228" s="2" t="str">
        <f ca="1">IFERROR(VLOOKUP(SortedTimeline[经过排序的排名],ProjectTimelineData[],4,0),"")</f>
        <v/>
      </c>
      <c r="P228" s="2" t="str">
        <f ca="1">IFERROR(VLOOKUP(SortedTimeline[经过排序的排名],ProjectTimelineData[],5,0),"")</f>
        <v/>
      </c>
    </row>
    <row r="229" spans="5:16" x14ac:dyDescent="0.3">
      <c r="E229" s="3" t="str">
        <f ca="1">IFERROR(RANK(F229,ProjectTimelineData[排名])+SUMPRODUCT(--(F229=ProjectTimelineData[排名]),--(J229&lt;ProjectTimelineData[NUM])),"")</f>
        <v/>
      </c>
      <c r="F229" s="3" t="str">
        <f ca="1">IFERROR(RANK(ProjectTimelineData[[#This Row],[日期]],ProjectTimelineData[日期],1),"")</f>
        <v/>
      </c>
      <c r="G229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2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29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29" s="2" t="str">
        <f ca="1">IFERROR(IF(ISBLANK(INDEX(ProjectDetails[#Data],ROW(A224)+1,1)),"",IF($J228-1&lt;=-1,"",$J228-1)),"")</f>
        <v/>
      </c>
      <c r="M229" s="3" t="str">
        <f ca="1">IFERROR(ProjectTimelineData[NUM]+1,"")</f>
        <v/>
      </c>
      <c r="N229" s="6" t="str">
        <f ca="1">IFERROR(VLOOKUP(SortedTimeline[经过排序的排名],ProjectTimelineData[],3,0),"")</f>
        <v/>
      </c>
      <c r="O229" s="2" t="str">
        <f ca="1">IFERROR(VLOOKUP(SortedTimeline[经过排序的排名],ProjectTimelineData[],4,0),"")</f>
        <v/>
      </c>
      <c r="P229" s="2" t="str">
        <f ca="1">IFERROR(VLOOKUP(SortedTimeline[经过排序的排名],ProjectTimelineData[],5,0),"")</f>
        <v/>
      </c>
    </row>
    <row r="230" spans="5:16" x14ac:dyDescent="0.3">
      <c r="E230" s="3" t="str">
        <f ca="1">IFERROR(RANK(F230,ProjectTimelineData[排名])+SUMPRODUCT(--(F230=ProjectTimelineData[排名]),--(J230&lt;ProjectTimelineData[NUM])),"")</f>
        <v/>
      </c>
      <c r="F230" s="3" t="str">
        <f ca="1">IFERROR(RANK(ProjectTimelineData[[#This Row],[日期]],ProjectTimelineData[日期],1),"")</f>
        <v/>
      </c>
      <c r="G230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30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30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30" s="2" t="str">
        <f ca="1">IFERROR(IF(ISBLANK(INDEX(ProjectDetails[#Data],ROW(A225)+1,1)),"",IF($J229-1&lt;=-1,"",$J229-1)),"")</f>
        <v/>
      </c>
      <c r="M230" s="3" t="str">
        <f ca="1">IFERROR(ProjectTimelineData[NUM]+1,"")</f>
        <v/>
      </c>
      <c r="N230" s="6" t="str">
        <f ca="1">IFERROR(VLOOKUP(SortedTimeline[经过排序的排名],ProjectTimelineData[],3,0),"")</f>
        <v/>
      </c>
      <c r="O230" s="2" t="str">
        <f ca="1">IFERROR(VLOOKUP(SortedTimeline[经过排序的排名],ProjectTimelineData[],4,0),"")</f>
        <v/>
      </c>
      <c r="P230" s="2" t="str">
        <f ca="1">IFERROR(VLOOKUP(SortedTimeline[经过排序的排名],ProjectTimelineData[],5,0),"")</f>
        <v/>
      </c>
    </row>
    <row r="231" spans="5:16" x14ac:dyDescent="0.3">
      <c r="E231" s="3" t="str">
        <f ca="1">IFERROR(RANK(F231,ProjectTimelineData[排名])+SUMPRODUCT(--(F231=ProjectTimelineData[排名]),--(J231&lt;ProjectTimelineData[NUM])),"")</f>
        <v/>
      </c>
      <c r="F231" s="3" t="str">
        <f ca="1">IFERROR(RANK(ProjectTimelineData[[#This Row],[日期]],ProjectTimelineData[日期],1),"")</f>
        <v/>
      </c>
      <c r="G231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31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31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31" s="2" t="str">
        <f ca="1">IFERROR(IF(ISBLANK(INDEX(ProjectDetails[#Data],ROW(A226)+1,1)),"",IF($J230-1&lt;=-1,"",$J230-1)),"")</f>
        <v/>
      </c>
      <c r="M231" s="3" t="str">
        <f ca="1">IFERROR(ProjectTimelineData[NUM]+1,"")</f>
        <v/>
      </c>
      <c r="N231" s="6" t="str">
        <f ca="1">IFERROR(VLOOKUP(SortedTimeline[经过排序的排名],ProjectTimelineData[],3,0),"")</f>
        <v/>
      </c>
      <c r="O231" s="2" t="str">
        <f ca="1">IFERROR(VLOOKUP(SortedTimeline[经过排序的排名],ProjectTimelineData[],4,0),"")</f>
        <v/>
      </c>
      <c r="P231" s="2" t="str">
        <f ca="1">IFERROR(VLOOKUP(SortedTimeline[经过排序的排名],ProjectTimelineData[],5,0),"")</f>
        <v/>
      </c>
    </row>
    <row r="232" spans="5:16" x14ac:dyDescent="0.3">
      <c r="E232" s="3" t="str">
        <f ca="1">IFERROR(RANK(F232,ProjectTimelineData[排名])+SUMPRODUCT(--(F232=ProjectTimelineData[排名]),--(J232&lt;ProjectTimelineData[NUM])),"")</f>
        <v/>
      </c>
      <c r="F232" s="3" t="str">
        <f ca="1">IFERROR(RANK(ProjectTimelineData[[#This Row],[日期]],ProjectTimelineData[日期],1),"")</f>
        <v/>
      </c>
      <c r="G232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32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32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32" s="2" t="str">
        <f ca="1">IFERROR(IF(ISBLANK(INDEX(ProjectDetails[#Data],ROW(A227)+1,1)),"",IF($J231-1&lt;=-1,"",$J231-1)),"")</f>
        <v/>
      </c>
      <c r="M232" s="3" t="str">
        <f ca="1">IFERROR(ProjectTimelineData[NUM]+1,"")</f>
        <v/>
      </c>
      <c r="N232" s="6" t="str">
        <f ca="1">IFERROR(VLOOKUP(SortedTimeline[经过排序的排名],ProjectTimelineData[],3,0),"")</f>
        <v/>
      </c>
      <c r="O232" s="2" t="str">
        <f ca="1">IFERROR(VLOOKUP(SortedTimeline[经过排序的排名],ProjectTimelineData[],4,0),"")</f>
        <v/>
      </c>
      <c r="P232" s="2" t="str">
        <f ca="1">IFERROR(VLOOKUP(SortedTimeline[经过排序的排名],ProjectTimelineData[],5,0),"")</f>
        <v/>
      </c>
    </row>
    <row r="233" spans="5:16" x14ac:dyDescent="0.3">
      <c r="E233" s="3" t="str">
        <f ca="1">IFERROR(RANK(F233,ProjectTimelineData[排名])+SUMPRODUCT(--(F233=ProjectTimelineData[排名]),--(J233&lt;ProjectTimelineData[NUM])),"")</f>
        <v/>
      </c>
      <c r="F233" s="3" t="str">
        <f ca="1">IFERROR(RANK(ProjectTimelineData[[#This Row],[日期]],ProjectTimelineData[日期],1),"")</f>
        <v/>
      </c>
      <c r="G233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33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33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33" s="2" t="str">
        <f ca="1">IFERROR(IF(ISBLANK(INDEX(ProjectDetails[#Data],ROW(A228)+1,1)),"",IF($J232-1&lt;=-1,"",$J232-1)),"")</f>
        <v/>
      </c>
      <c r="M233" s="3" t="str">
        <f ca="1">IFERROR(ProjectTimelineData[NUM]+1,"")</f>
        <v/>
      </c>
      <c r="N233" s="6" t="str">
        <f ca="1">IFERROR(VLOOKUP(SortedTimeline[经过排序的排名],ProjectTimelineData[],3,0),"")</f>
        <v/>
      </c>
      <c r="O233" s="2" t="str">
        <f ca="1">IFERROR(VLOOKUP(SortedTimeline[经过排序的排名],ProjectTimelineData[],4,0),"")</f>
        <v/>
      </c>
      <c r="P233" s="2" t="str">
        <f ca="1">IFERROR(VLOOKUP(SortedTimeline[经过排序的排名],ProjectTimelineData[],5,0),"")</f>
        <v/>
      </c>
    </row>
    <row r="234" spans="5:16" x14ac:dyDescent="0.3">
      <c r="E234" s="3" t="str">
        <f ca="1">IFERROR(RANK(F234,ProjectTimelineData[排名])+SUMPRODUCT(--(F234=ProjectTimelineData[排名]),--(J234&lt;ProjectTimelineData[NUM])),"")</f>
        <v/>
      </c>
      <c r="F234" s="3" t="str">
        <f ca="1">IFERROR(RANK(ProjectTimelineData[[#This Row],[日期]],ProjectTimelineData[日期],1),"")</f>
        <v/>
      </c>
      <c r="G234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34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34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34" s="2" t="str">
        <f ca="1">IFERROR(IF(ISBLANK(INDEX(ProjectDetails[#Data],ROW(A229)+1,1)),"",IF($J233-1&lt;=-1,"",$J233-1)),"")</f>
        <v/>
      </c>
      <c r="M234" s="3" t="str">
        <f ca="1">IFERROR(ProjectTimelineData[NUM]+1,"")</f>
        <v/>
      </c>
      <c r="N234" s="6" t="str">
        <f ca="1">IFERROR(VLOOKUP(SortedTimeline[经过排序的排名],ProjectTimelineData[],3,0),"")</f>
        <v/>
      </c>
      <c r="O234" s="2" t="str">
        <f ca="1">IFERROR(VLOOKUP(SortedTimeline[经过排序的排名],ProjectTimelineData[],4,0),"")</f>
        <v/>
      </c>
      <c r="P234" s="2" t="str">
        <f ca="1">IFERROR(VLOOKUP(SortedTimeline[经过排序的排名],ProjectTimelineData[],5,0),"")</f>
        <v/>
      </c>
    </row>
    <row r="235" spans="5:16" x14ac:dyDescent="0.3">
      <c r="E235" s="3" t="str">
        <f ca="1">IFERROR(RANK(F235,ProjectTimelineData[排名])+SUMPRODUCT(--(F235=ProjectTimelineData[排名]),--(J235&lt;ProjectTimelineData[NUM])),"")</f>
        <v/>
      </c>
      <c r="F235" s="3" t="str">
        <f ca="1">IFERROR(RANK(ProjectTimelineData[[#This Row],[日期]],ProjectTimelineData[日期],1),"")</f>
        <v/>
      </c>
      <c r="G235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35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35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35" s="2" t="str">
        <f ca="1">IFERROR(IF(ISBLANK(INDEX(ProjectDetails[#Data],ROW(A230)+1,1)),"",IF($J234-1&lt;=-1,"",$J234-1)),"")</f>
        <v/>
      </c>
      <c r="M235" s="3" t="str">
        <f ca="1">IFERROR(ProjectTimelineData[NUM]+1,"")</f>
        <v/>
      </c>
      <c r="N235" s="6" t="str">
        <f ca="1">IFERROR(VLOOKUP(SortedTimeline[经过排序的排名],ProjectTimelineData[],3,0),"")</f>
        <v/>
      </c>
      <c r="O235" s="2" t="str">
        <f ca="1">IFERROR(VLOOKUP(SortedTimeline[经过排序的排名],ProjectTimelineData[],4,0),"")</f>
        <v/>
      </c>
      <c r="P235" s="2" t="str">
        <f ca="1">IFERROR(VLOOKUP(SortedTimeline[经过排序的排名],ProjectTimelineData[],5,0),"")</f>
        <v/>
      </c>
    </row>
    <row r="236" spans="5:16" x14ac:dyDescent="0.3">
      <c r="E236" s="3" t="str">
        <f ca="1">IFERROR(RANK(F236,ProjectTimelineData[排名])+SUMPRODUCT(--(F236=ProjectTimelineData[排名]),--(J236&lt;ProjectTimelineData[NUM])),"")</f>
        <v/>
      </c>
      <c r="F236" s="3" t="str">
        <f ca="1">IFERROR(RANK(ProjectTimelineData[[#This Row],[日期]],ProjectTimelineData[日期],1),"")</f>
        <v/>
      </c>
      <c r="G236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3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36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36" s="2" t="str">
        <f ca="1">IFERROR(IF(ISBLANK(INDEX(ProjectDetails[#Data],ROW(A231)+1,1)),"",IF($J235-1&lt;=-1,"",$J235-1)),"")</f>
        <v/>
      </c>
      <c r="M236" s="3" t="str">
        <f ca="1">IFERROR(ProjectTimelineData[NUM]+1,"")</f>
        <v/>
      </c>
      <c r="N236" s="6" t="str">
        <f ca="1">IFERROR(VLOOKUP(SortedTimeline[经过排序的排名],ProjectTimelineData[],3,0),"")</f>
        <v/>
      </c>
      <c r="O236" s="2" t="str">
        <f ca="1">IFERROR(VLOOKUP(SortedTimeline[经过排序的排名],ProjectTimelineData[],4,0),"")</f>
        <v/>
      </c>
      <c r="P236" s="2" t="str">
        <f ca="1">IFERROR(VLOOKUP(SortedTimeline[经过排序的排名],ProjectTimelineData[],5,0),"")</f>
        <v/>
      </c>
    </row>
    <row r="237" spans="5:16" x14ac:dyDescent="0.3">
      <c r="E237" s="3" t="str">
        <f ca="1">IFERROR(RANK(F237,ProjectTimelineData[排名])+SUMPRODUCT(--(F237=ProjectTimelineData[排名]),--(J237&lt;ProjectTimelineData[NUM])),"")</f>
        <v/>
      </c>
      <c r="F237" s="3" t="str">
        <f ca="1">IFERROR(RANK(ProjectTimelineData[[#This Row],[日期]],ProjectTimelineData[日期],1),"")</f>
        <v/>
      </c>
      <c r="G237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3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37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37" s="2" t="str">
        <f ca="1">IFERROR(IF(ISBLANK(INDEX(ProjectDetails[#Data],ROW(A232)+1,1)),"",IF($J236-1&lt;=-1,"",$J236-1)),"")</f>
        <v/>
      </c>
      <c r="M237" s="3" t="str">
        <f ca="1">IFERROR(ProjectTimelineData[NUM]+1,"")</f>
        <v/>
      </c>
      <c r="N237" s="6" t="str">
        <f ca="1">IFERROR(VLOOKUP(SortedTimeline[经过排序的排名],ProjectTimelineData[],3,0),"")</f>
        <v/>
      </c>
      <c r="O237" s="2" t="str">
        <f ca="1">IFERROR(VLOOKUP(SortedTimeline[经过排序的排名],ProjectTimelineData[],4,0),"")</f>
        <v/>
      </c>
      <c r="P237" s="2" t="str">
        <f ca="1">IFERROR(VLOOKUP(SortedTimeline[经过排序的排名],ProjectTimelineData[],5,0),"")</f>
        <v/>
      </c>
    </row>
    <row r="238" spans="5:16" x14ac:dyDescent="0.3">
      <c r="E238" s="3" t="str">
        <f ca="1">IFERROR(RANK(F238,ProjectTimelineData[排名])+SUMPRODUCT(--(F238=ProjectTimelineData[排名]),--(J238&lt;ProjectTimelineData[NUM])),"")</f>
        <v/>
      </c>
      <c r="F238" s="3" t="str">
        <f ca="1">IFERROR(RANK(ProjectTimelineData[[#This Row],[日期]],ProjectTimelineData[日期],1),"")</f>
        <v/>
      </c>
      <c r="G238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3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38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38" s="2" t="str">
        <f ca="1">IFERROR(IF(ISBLANK(INDEX(ProjectDetails[#Data],ROW(A233)+1,1)),"",IF($J237-1&lt;=-1,"",$J237-1)),"")</f>
        <v/>
      </c>
      <c r="M238" s="3" t="str">
        <f ca="1">IFERROR(ProjectTimelineData[NUM]+1,"")</f>
        <v/>
      </c>
      <c r="N238" s="6" t="str">
        <f ca="1">IFERROR(VLOOKUP(SortedTimeline[经过排序的排名],ProjectTimelineData[],3,0),"")</f>
        <v/>
      </c>
      <c r="O238" s="2" t="str">
        <f ca="1">IFERROR(VLOOKUP(SortedTimeline[经过排序的排名],ProjectTimelineData[],4,0),"")</f>
        <v/>
      </c>
      <c r="P238" s="2" t="str">
        <f ca="1">IFERROR(VLOOKUP(SortedTimeline[经过排序的排名],ProjectTimelineData[],5,0),"")</f>
        <v/>
      </c>
    </row>
    <row r="239" spans="5:16" x14ac:dyDescent="0.3">
      <c r="E239" s="3" t="str">
        <f ca="1">IFERROR(RANK(F239,ProjectTimelineData[排名])+SUMPRODUCT(--(F239=ProjectTimelineData[排名]),--(J239&lt;ProjectTimelineData[NUM])),"")</f>
        <v/>
      </c>
      <c r="F239" s="3" t="str">
        <f ca="1">IFERROR(RANK(ProjectTimelineData[[#This Row],[日期]],ProjectTimelineData[日期],1),"")</f>
        <v/>
      </c>
      <c r="G239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3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39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39" s="2" t="str">
        <f ca="1">IFERROR(IF(ISBLANK(INDEX(ProjectDetails[#Data],ROW(A234)+1,1)),"",IF($J238-1&lt;=-1,"",$J238-1)),"")</f>
        <v/>
      </c>
      <c r="M239" s="3" t="str">
        <f ca="1">IFERROR(ProjectTimelineData[NUM]+1,"")</f>
        <v/>
      </c>
      <c r="N239" s="6" t="str">
        <f ca="1">IFERROR(VLOOKUP(SortedTimeline[经过排序的排名],ProjectTimelineData[],3,0),"")</f>
        <v/>
      </c>
      <c r="O239" s="2" t="str">
        <f ca="1">IFERROR(VLOOKUP(SortedTimeline[经过排序的排名],ProjectTimelineData[],4,0),"")</f>
        <v/>
      </c>
      <c r="P239" s="2" t="str">
        <f ca="1">IFERROR(VLOOKUP(SortedTimeline[经过排序的排名],ProjectTimelineData[],5,0),"")</f>
        <v/>
      </c>
    </row>
    <row r="240" spans="5:16" x14ac:dyDescent="0.3">
      <c r="E240" s="3" t="str">
        <f ca="1">IFERROR(RANK(F240,ProjectTimelineData[排名])+SUMPRODUCT(--(F240=ProjectTimelineData[排名]),--(J240&lt;ProjectTimelineData[NUM])),"")</f>
        <v/>
      </c>
      <c r="F240" s="3" t="str">
        <f ca="1">IFERROR(RANK(ProjectTimelineData[[#This Row],[日期]],ProjectTimelineData[日期],1),"")</f>
        <v/>
      </c>
      <c r="G240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40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40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40" s="2" t="str">
        <f ca="1">IFERROR(IF(ISBLANK(INDEX(ProjectDetails[#Data],ROW(A235)+1,1)),"",IF($J239-1&lt;=-1,"",$J239-1)),"")</f>
        <v/>
      </c>
      <c r="M240" s="3" t="str">
        <f ca="1">IFERROR(ProjectTimelineData[NUM]+1,"")</f>
        <v/>
      </c>
      <c r="N240" s="6" t="str">
        <f ca="1">IFERROR(VLOOKUP(SortedTimeline[经过排序的排名],ProjectTimelineData[],3,0),"")</f>
        <v/>
      </c>
      <c r="O240" s="2" t="str">
        <f ca="1">IFERROR(VLOOKUP(SortedTimeline[经过排序的排名],ProjectTimelineData[],4,0),"")</f>
        <v/>
      </c>
      <c r="P240" s="2" t="str">
        <f ca="1">IFERROR(VLOOKUP(SortedTimeline[经过排序的排名],ProjectTimelineData[],5,0),"")</f>
        <v/>
      </c>
    </row>
    <row r="241" spans="5:16" x14ac:dyDescent="0.3">
      <c r="E241" s="3" t="str">
        <f ca="1">IFERROR(RANK(F241,ProjectTimelineData[排名])+SUMPRODUCT(--(F241=ProjectTimelineData[排名]),--(J241&lt;ProjectTimelineData[NUM])),"")</f>
        <v/>
      </c>
      <c r="F241" s="3" t="str">
        <f ca="1">IFERROR(RANK(ProjectTimelineData[[#This Row],[日期]],ProjectTimelineData[日期],1),"")</f>
        <v/>
      </c>
      <c r="G241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41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41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41" s="2" t="str">
        <f ca="1">IFERROR(IF(ISBLANK(INDEX(ProjectDetails[#Data],ROW(A236)+1,1)),"",IF($J240-1&lt;=-1,"",$J240-1)),"")</f>
        <v/>
      </c>
      <c r="M241" s="3" t="str">
        <f ca="1">IFERROR(ProjectTimelineData[NUM]+1,"")</f>
        <v/>
      </c>
      <c r="N241" s="6" t="str">
        <f ca="1">IFERROR(VLOOKUP(SortedTimeline[经过排序的排名],ProjectTimelineData[],3,0),"")</f>
        <v/>
      </c>
      <c r="O241" s="2" t="str">
        <f ca="1">IFERROR(VLOOKUP(SortedTimeline[经过排序的排名],ProjectTimelineData[],4,0),"")</f>
        <v/>
      </c>
      <c r="P241" s="2" t="str">
        <f ca="1">IFERROR(VLOOKUP(SortedTimeline[经过排序的排名],ProjectTimelineData[],5,0),"")</f>
        <v/>
      </c>
    </row>
    <row r="242" spans="5:16" x14ac:dyDescent="0.3">
      <c r="E242" s="3" t="str">
        <f ca="1">IFERROR(RANK(F242,ProjectTimelineData[排名])+SUMPRODUCT(--(F242=ProjectTimelineData[排名]),--(J242&lt;ProjectTimelineData[NUM])),"")</f>
        <v/>
      </c>
      <c r="F242" s="3" t="str">
        <f ca="1">IFERROR(RANK(ProjectTimelineData[[#This Row],[日期]],ProjectTimelineData[日期],1),"")</f>
        <v/>
      </c>
      <c r="G242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42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42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42" s="2" t="str">
        <f ca="1">IFERROR(IF(ISBLANK(INDEX(ProjectDetails[#Data],ROW(A237)+1,1)),"",IF($J241-1&lt;=-1,"",$J241-1)),"")</f>
        <v/>
      </c>
      <c r="M242" s="3" t="str">
        <f ca="1">IFERROR(ProjectTimelineData[NUM]+1,"")</f>
        <v/>
      </c>
      <c r="N242" s="6" t="str">
        <f ca="1">IFERROR(VLOOKUP(SortedTimeline[经过排序的排名],ProjectTimelineData[],3,0),"")</f>
        <v/>
      </c>
      <c r="O242" s="2" t="str">
        <f ca="1">IFERROR(VLOOKUP(SortedTimeline[经过排序的排名],ProjectTimelineData[],4,0),"")</f>
        <v/>
      </c>
      <c r="P242" s="2" t="str">
        <f ca="1">IFERROR(VLOOKUP(SortedTimeline[经过排序的排名],ProjectTimelineData[],5,0),"")</f>
        <v/>
      </c>
    </row>
    <row r="243" spans="5:16" x14ac:dyDescent="0.3">
      <c r="E243" s="3" t="str">
        <f ca="1">IFERROR(RANK(F243,ProjectTimelineData[排名])+SUMPRODUCT(--(F243=ProjectTimelineData[排名]),--(J243&lt;ProjectTimelineData[NUM])),"")</f>
        <v/>
      </c>
      <c r="F243" s="3" t="str">
        <f ca="1">IFERROR(RANK(ProjectTimelineData[[#This Row],[日期]],ProjectTimelineData[日期],1),"")</f>
        <v/>
      </c>
      <c r="G243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43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43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43" s="2" t="str">
        <f ca="1">IFERROR(IF(ISBLANK(INDEX(ProjectDetails[#Data],ROW(A238)+1,1)),"",IF($J242-1&lt;=-1,"",$J242-1)),"")</f>
        <v/>
      </c>
      <c r="M243" s="3" t="str">
        <f ca="1">IFERROR(ProjectTimelineData[NUM]+1,"")</f>
        <v/>
      </c>
      <c r="N243" s="6" t="str">
        <f ca="1">IFERROR(VLOOKUP(SortedTimeline[经过排序的排名],ProjectTimelineData[],3,0),"")</f>
        <v/>
      </c>
      <c r="O243" s="2" t="str">
        <f ca="1">IFERROR(VLOOKUP(SortedTimeline[经过排序的排名],ProjectTimelineData[],4,0),"")</f>
        <v/>
      </c>
      <c r="P243" s="2" t="str">
        <f ca="1">IFERROR(VLOOKUP(SortedTimeline[经过排序的排名],ProjectTimelineData[],5,0),"")</f>
        <v/>
      </c>
    </row>
    <row r="244" spans="5:16" x14ac:dyDescent="0.3">
      <c r="E244" s="3" t="str">
        <f ca="1">IFERROR(RANK(F244,ProjectTimelineData[排名])+SUMPRODUCT(--(F244=ProjectTimelineData[排名]),--(J244&lt;ProjectTimelineData[NUM])),"")</f>
        <v/>
      </c>
      <c r="F244" s="3" t="str">
        <f ca="1">IFERROR(RANK(ProjectTimelineData[[#This Row],[日期]],ProjectTimelineData[日期],1),"")</f>
        <v/>
      </c>
      <c r="G244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44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44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44" s="2" t="str">
        <f ca="1">IFERROR(IF(ISBLANK(INDEX(ProjectDetails[#Data],ROW(A239)+1,1)),"",IF($J243-1&lt;=-1,"",$J243-1)),"")</f>
        <v/>
      </c>
      <c r="M244" s="3" t="str">
        <f ca="1">IFERROR(ProjectTimelineData[NUM]+1,"")</f>
        <v/>
      </c>
      <c r="N244" s="6" t="str">
        <f ca="1">IFERROR(VLOOKUP(SortedTimeline[经过排序的排名],ProjectTimelineData[],3,0),"")</f>
        <v/>
      </c>
      <c r="O244" s="2" t="str">
        <f ca="1">IFERROR(VLOOKUP(SortedTimeline[经过排序的排名],ProjectTimelineData[],4,0),"")</f>
        <v/>
      </c>
      <c r="P244" s="2" t="str">
        <f ca="1">IFERROR(VLOOKUP(SortedTimeline[经过排序的排名],ProjectTimelineData[],5,0),"")</f>
        <v/>
      </c>
    </row>
    <row r="245" spans="5:16" x14ac:dyDescent="0.3">
      <c r="E245" s="3" t="str">
        <f ca="1">IFERROR(RANK(F245,ProjectTimelineData[排名])+SUMPRODUCT(--(F245=ProjectTimelineData[排名]),--(J245&lt;ProjectTimelineData[NUM])),"")</f>
        <v/>
      </c>
      <c r="F245" s="3" t="str">
        <f ca="1">IFERROR(RANK(ProjectTimelineData[[#This Row],[日期]],ProjectTimelineData[日期],1),"")</f>
        <v/>
      </c>
      <c r="G245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45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45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45" s="2" t="str">
        <f ca="1">IFERROR(IF(ISBLANK(INDEX(ProjectDetails[#Data],ROW(A240)+1,1)),"",IF($J244-1&lt;=-1,"",$J244-1)),"")</f>
        <v/>
      </c>
      <c r="M245" s="3" t="str">
        <f ca="1">IFERROR(ProjectTimelineData[NUM]+1,"")</f>
        <v/>
      </c>
      <c r="N245" s="6" t="str">
        <f ca="1">IFERROR(VLOOKUP(SortedTimeline[经过排序的排名],ProjectTimelineData[],3,0),"")</f>
        <v/>
      </c>
      <c r="O245" s="2" t="str">
        <f ca="1">IFERROR(VLOOKUP(SortedTimeline[经过排序的排名],ProjectTimelineData[],4,0),"")</f>
        <v/>
      </c>
      <c r="P245" s="2" t="str">
        <f ca="1">IFERROR(VLOOKUP(SortedTimeline[经过排序的排名],ProjectTimelineData[],5,0),"")</f>
        <v/>
      </c>
    </row>
    <row r="246" spans="5:16" x14ac:dyDescent="0.3">
      <c r="E246" s="3" t="str">
        <f ca="1">IFERROR(RANK(F246,ProjectTimelineData[排名])+SUMPRODUCT(--(F246=ProjectTimelineData[排名]),--(J246&lt;ProjectTimelineData[NUM])),"")</f>
        <v/>
      </c>
      <c r="F246" s="3" t="str">
        <f ca="1">IFERROR(RANK(ProjectTimelineData[[#This Row],[日期]],ProjectTimelineData[日期],1),"")</f>
        <v/>
      </c>
      <c r="G246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4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46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46" s="2" t="str">
        <f ca="1">IFERROR(IF(ISBLANK(INDEX(ProjectDetails[#Data],ROW(A241)+1,1)),"",IF($J245-1&lt;=-1,"",$J245-1)),"")</f>
        <v/>
      </c>
      <c r="M246" s="3" t="str">
        <f ca="1">IFERROR(ProjectTimelineData[NUM]+1,"")</f>
        <v/>
      </c>
      <c r="N246" s="6" t="str">
        <f ca="1">IFERROR(VLOOKUP(SortedTimeline[经过排序的排名],ProjectTimelineData[],3,0),"")</f>
        <v/>
      </c>
      <c r="O246" s="2" t="str">
        <f ca="1">IFERROR(VLOOKUP(SortedTimeline[经过排序的排名],ProjectTimelineData[],4,0),"")</f>
        <v/>
      </c>
      <c r="P246" s="2" t="str">
        <f ca="1">IFERROR(VLOOKUP(SortedTimeline[经过排序的排名],ProjectTimelineData[],5,0),"")</f>
        <v/>
      </c>
    </row>
    <row r="247" spans="5:16" x14ac:dyDescent="0.3">
      <c r="E247" s="3" t="str">
        <f ca="1">IFERROR(RANK(F247,ProjectTimelineData[排名])+SUMPRODUCT(--(F247=ProjectTimelineData[排名]),--(J247&lt;ProjectTimelineData[NUM])),"")</f>
        <v/>
      </c>
      <c r="F247" s="3" t="str">
        <f ca="1">IFERROR(RANK(ProjectTimelineData[[#This Row],[日期]],ProjectTimelineData[日期],1),"")</f>
        <v/>
      </c>
      <c r="G247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4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47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47" s="2" t="str">
        <f ca="1">IFERROR(IF(ISBLANK(INDEX(ProjectDetails[#Data],ROW(A242)+1,1)),"",IF($J246-1&lt;=-1,"",$J246-1)),"")</f>
        <v/>
      </c>
      <c r="M247" s="3" t="str">
        <f ca="1">IFERROR(ProjectTimelineData[NUM]+1,"")</f>
        <v/>
      </c>
      <c r="N247" s="6" t="str">
        <f ca="1">IFERROR(VLOOKUP(SortedTimeline[经过排序的排名],ProjectTimelineData[],3,0),"")</f>
        <v/>
      </c>
      <c r="O247" s="2" t="str">
        <f ca="1">IFERROR(VLOOKUP(SortedTimeline[经过排序的排名],ProjectTimelineData[],4,0),"")</f>
        <v/>
      </c>
      <c r="P247" s="2" t="str">
        <f ca="1">IFERROR(VLOOKUP(SortedTimeline[经过排序的排名],ProjectTimelineData[],5,0),"")</f>
        <v/>
      </c>
    </row>
    <row r="248" spans="5:16" x14ac:dyDescent="0.3">
      <c r="E248" s="3" t="str">
        <f ca="1">IFERROR(RANK(F248,ProjectTimelineData[排名])+SUMPRODUCT(--(F248=ProjectTimelineData[排名]),--(J248&lt;ProjectTimelineData[NUM])),"")</f>
        <v/>
      </c>
      <c r="F248" s="3" t="str">
        <f ca="1">IFERROR(RANK(ProjectTimelineData[[#This Row],[日期]],ProjectTimelineData[日期],1),"")</f>
        <v/>
      </c>
      <c r="G248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4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48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48" s="2" t="str">
        <f ca="1">IFERROR(IF(ISBLANK(INDEX(ProjectDetails[#Data],ROW(A243)+1,1)),"",IF($J247-1&lt;=-1,"",$J247-1)),"")</f>
        <v/>
      </c>
      <c r="M248" s="3" t="str">
        <f ca="1">IFERROR(ProjectTimelineData[NUM]+1,"")</f>
        <v/>
      </c>
      <c r="N248" s="6" t="str">
        <f ca="1">IFERROR(VLOOKUP(SortedTimeline[经过排序的排名],ProjectTimelineData[],3,0),"")</f>
        <v/>
      </c>
      <c r="O248" s="2" t="str">
        <f ca="1">IFERROR(VLOOKUP(SortedTimeline[经过排序的排名],ProjectTimelineData[],4,0),"")</f>
        <v/>
      </c>
      <c r="P248" s="2" t="str">
        <f ca="1">IFERROR(VLOOKUP(SortedTimeline[经过排序的排名],ProjectTimelineData[],5,0),"")</f>
        <v/>
      </c>
    </row>
    <row r="249" spans="5:16" x14ac:dyDescent="0.3">
      <c r="E249" s="3" t="str">
        <f ca="1">IFERROR(RANK(F249,ProjectTimelineData[排名])+SUMPRODUCT(--(F249=ProjectTimelineData[排名]),--(J249&lt;ProjectTimelineData[NUM])),"")</f>
        <v/>
      </c>
      <c r="F249" s="3" t="str">
        <f ca="1">IFERROR(RANK(ProjectTimelineData[[#This Row],[日期]],ProjectTimelineData[日期],1),"")</f>
        <v/>
      </c>
      <c r="G249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4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49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49" s="2" t="str">
        <f ca="1">IFERROR(IF(ISBLANK(INDEX(ProjectDetails[#Data],ROW(A244)+1,1)),"",IF($J248-1&lt;=-1,"",$J248-1)),"")</f>
        <v/>
      </c>
      <c r="M249" s="3" t="str">
        <f ca="1">IFERROR(ProjectTimelineData[NUM]+1,"")</f>
        <v/>
      </c>
      <c r="N249" s="6" t="str">
        <f ca="1">IFERROR(VLOOKUP(SortedTimeline[经过排序的排名],ProjectTimelineData[],3,0),"")</f>
        <v/>
      </c>
      <c r="O249" s="2" t="str">
        <f ca="1">IFERROR(VLOOKUP(SortedTimeline[经过排序的排名],ProjectTimelineData[],4,0),"")</f>
        <v/>
      </c>
      <c r="P249" s="2" t="str">
        <f ca="1">IFERROR(VLOOKUP(SortedTimeline[经过排序的排名],ProjectTimelineData[],5,0),"")</f>
        <v/>
      </c>
    </row>
    <row r="250" spans="5:16" x14ac:dyDescent="0.3">
      <c r="E250" s="3" t="str">
        <f ca="1">IFERROR(RANK(F250,ProjectTimelineData[排名])+SUMPRODUCT(--(F250=ProjectTimelineData[排名]),--(J250&lt;ProjectTimelineData[NUM])),"")</f>
        <v/>
      </c>
      <c r="F250" s="3" t="str">
        <f ca="1">IFERROR(RANK(ProjectTimelineData[[#This Row],[日期]],ProjectTimelineData[日期],1),"")</f>
        <v/>
      </c>
      <c r="G250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50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50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50" s="2" t="str">
        <f ca="1">IFERROR(IF(ISBLANK(INDEX(ProjectDetails[#Data],ROW(A245)+1,1)),"",IF($J249-1&lt;=-1,"",$J249-1)),"")</f>
        <v/>
      </c>
      <c r="M250" s="3" t="str">
        <f ca="1">IFERROR(ProjectTimelineData[NUM]+1,"")</f>
        <v/>
      </c>
      <c r="N250" s="6" t="str">
        <f ca="1">IFERROR(VLOOKUP(SortedTimeline[经过排序的排名],ProjectTimelineData[],3,0),"")</f>
        <v/>
      </c>
      <c r="O250" s="2" t="str">
        <f ca="1">IFERROR(VLOOKUP(SortedTimeline[经过排序的排名],ProjectTimelineData[],4,0),"")</f>
        <v/>
      </c>
      <c r="P250" s="2" t="str">
        <f ca="1">IFERROR(VLOOKUP(SortedTimeline[经过排序的排名],ProjectTimelineData[],5,0),"")</f>
        <v/>
      </c>
    </row>
    <row r="251" spans="5:16" x14ac:dyDescent="0.3">
      <c r="E251" s="3" t="str">
        <f ca="1">IFERROR(RANK(F251,ProjectTimelineData[排名])+SUMPRODUCT(--(F251=ProjectTimelineData[排名]),--(J251&lt;ProjectTimelineData[NUM])),"")</f>
        <v/>
      </c>
      <c r="F251" s="3" t="str">
        <f ca="1">IFERROR(RANK(ProjectTimelineData[[#This Row],[日期]],ProjectTimelineData[日期],1),"")</f>
        <v/>
      </c>
      <c r="G251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51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51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51" s="2" t="str">
        <f ca="1">IFERROR(IF(ISBLANK(INDEX(ProjectDetails[#Data],ROW(A246)+1,1)),"",IF($J250-1&lt;=-1,"",$J250-1)),"")</f>
        <v/>
      </c>
      <c r="M251" s="3" t="str">
        <f ca="1">IFERROR(ProjectTimelineData[NUM]+1,"")</f>
        <v/>
      </c>
      <c r="N251" s="6" t="str">
        <f ca="1">IFERROR(VLOOKUP(SortedTimeline[经过排序的排名],ProjectTimelineData[],3,0),"")</f>
        <v/>
      </c>
      <c r="O251" s="2" t="str">
        <f ca="1">IFERROR(VLOOKUP(SortedTimeline[经过排序的排名],ProjectTimelineData[],4,0),"")</f>
        <v/>
      </c>
      <c r="P251" s="2" t="str">
        <f ca="1">IFERROR(VLOOKUP(SortedTimeline[经过排序的排名],ProjectTimelineData[],5,0),"")</f>
        <v/>
      </c>
    </row>
    <row r="252" spans="5:16" x14ac:dyDescent="0.3">
      <c r="E252" s="3" t="str">
        <f ca="1">IFERROR(RANK(F252,ProjectTimelineData[排名])+SUMPRODUCT(--(F252=ProjectTimelineData[排名]),--(J252&lt;ProjectTimelineData[NUM])),"")</f>
        <v/>
      </c>
      <c r="F252" s="3" t="str">
        <f ca="1">IFERROR(RANK(ProjectTimelineData[[#This Row],[日期]],ProjectTimelineData[日期],1),"")</f>
        <v/>
      </c>
      <c r="G252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52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52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52" s="2" t="str">
        <f ca="1">IFERROR(IF(ISBLANK(INDEX(ProjectDetails[#Data],ROW(A247)+1,1)),"",IF($J251-1&lt;=-1,"",$J251-1)),"")</f>
        <v/>
      </c>
      <c r="M252" s="3" t="str">
        <f ca="1">IFERROR(ProjectTimelineData[NUM]+1,"")</f>
        <v/>
      </c>
      <c r="N252" s="6" t="str">
        <f ca="1">IFERROR(VLOOKUP(SortedTimeline[经过排序的排名],ProjectTimelineData[],3,0),"")</f>
        <v/>
      </c>
      <c r="O252" s="2" t="str">
        <f ca="1">IFERROR(VLOOKUP(SortedTimeline[经过排序的排名],ProjectTimelineData[],4,0),"")</f>
        <v/>
      </c>
      <c r="P252" s="2" t="str">
        <f ca="1">IFERROR(VLOOKUP(SortedTimeline[经过排序的排名],ProjectTimelineData[],5,0),"")</f>
        <v/>
      </c>
    </row>
    <row r="253" spans="5:16" x14ac:dyDescent="0.3">
      <c r="E253" s="3" t="str">
        <f ca="1">IFERROR(RANK(F253,ProjectTimelineData[排名])+SUMPRODUCT(--(F253=ProjectTimelineData[排名]),--(J253&lt;ProjectTimelineData[NUM])),"")</f>
        <v/>
      </c>
      <c r="F253" s="3" t="str">
        <f ca="1">IFERROR(RANK(ProjectTimelineData[[#This Row],[日期]],ProjectTimelineData[日期],1),"")</f>
        <v/>
      </c>
      <c r="G253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53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53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53" s="2" t="str">
        <f ca="1">IFERROR(IF(ISBLANK(INDEX(ProjectDetails[#Data],ROW(A248)+1,1)),"",IF($J252-1&lt;=-1,"",$J252-1)),"")</f>
        <v/>
      </c>
      <c r="M253" s="3" t="str">
        <f ca="1">IFERROR(ProjectTimelineData[NUM]+1,"")</f>
        <v/>
      </c>
      <c r="N253" s="6" t="str">
        <f ca="1">IFERROR(VLOOKUP(SortedTimeline[经过排序的排名],ProjectTimelineData[],3,0),"")</f>
        <v/>
      </c>
      <c r="O253" s="2" t="str">
        <f ca="1">IFERROR(VLOOKUP(SortedTimeline[经过排序的排名],ProjectTimelineData[],4,0),"")</f>
        <v/>
      </c>
      <c r="P253" s="2" t="str">
        <f ca="1">IFERROR(VLOOKUP(SortedTimeline[经过排序的排名],ProjectTimelineData[],5,0),"")</f>
        <v/>
      </c>
    </row>
    <row r="254" spans="5:16" x14ac:dyDescent="0.3">
      <c r="E254" s="3" t="str">
        <f ca="1">IFERROR(RANK(F254,ProjectTimelineData[排名])+SUMPRODUCT(--(F254=ProjectTimelineData[排名]),--(J254&lt;ProjectTimelineData[NUM])),"")</f>
        <v/>
      </c>
      <c r="F254" s="3" t="str">
        <f ca="1">IFERROR(RANK(ProjectTimelineData[[#This Row],[日期]],ProjectTimelineData[日期],1),"")</f>
        <v/>
      </c>
      <c r="G254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54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54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54" s="2" t="str">
        <f ca="1">IFERROR(IF(ISBLANK(INDEX(ProjectDetails[#Data],ROW(A249)+1,1)),"",IF($J253-1&lt;=-1,"",$J253-1)),"")</f>
        <v/>
      </c>
      <c r="M254" s="3" t="str">
        <f ca="1">IFERROR(ProjectTimelineData[NUM]+1,"")</f>
        <v/>
      </c>
      <c r="N254" s="6" t="str">
        <f ca="1">IFERROR(VLOOKUP(SortedTimeline[经过排序的排名],ProjectTimelineData[],3,0),"")</f>
        <v/>
      </c>
      <c r="O254" s="2" t="str">
        <f ca="1">IFERROR(VLOOKUP(SortedTimeline[经过排序的排名],ProjectTimelineData[],4,0),"")</f>
        <v/>
      </c>
      <c r="P254" s="2" t="str">
        <f ca="1">IFERROR(VLOOKUP(SortedTimeline[经过排序的排名],ProjectTimelineData[],5,0),"")</f>
        <v/>
      </c>
    </row>
    <row r="255" spans="5:16" x14ac:dyDescent="0.3">
      <c r="E255" s="3" t="str">
        <f ca="1">IFERROR(RANK(F255,ProjectTimelineData[排名])+SUMPRODUCT(--(F255=ProjectTimelineData[排名]),--(J255&lt;ProjectTimelineData[NUM])),"")</f>
        <v/>
      </c>
      <c r="F255" s="3" t="str">
        <f ca="1">IFERROR(RANK(ProjectTimelineData[[#This Row],[日期]],ProjectTimelineData[日期],1),"")</f>
        <v/>
      </c>
      <c r="G255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55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55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55" s="2" t="str">
        <f ca="1">IFERROR(IF(ISBLANK(INDEX(ProjectDetails[#Data],ROW(A250)+1,1)),"",IF($J254-1&lt;=-1,"",$J254-1)),"")</f>
        <v/>
      </c>
      <c r="M255" s="3" t="str">
        <f ca="1">IFERROR(ProjectTimelineData[NUM]+1,"")</f>
        <v/>
      </c>
      <c r="N255" s="6" t="str">
        <f ca="1">IFERROR(VLOOKUP(SortedTimeline[经过排序的排名],ProjectTimelineData[],3,0),"")</f>
        <v/>
      </c>
      <c r="O255" s="2" t="str">
        <f ca="1">IFERROR(VLOOKUP(SortedTimeline[经过排序的排名],ProjectTimelineData[],4,0),"")</f>
        <v/>
      </c>
      <c r="P255" s="2" t="str">
        <f ca="1">IFERROR(VLOOKUP(SortedTimeline[经过排序的排名],ProjectTimelineData[],5,0),"")</f>
        <v/>
      </c>
    </row>
    <row r="256" spans="5:16" x14ac:dyDescent="0.3">
      <c r="E256" s="3" t="str">
        <f ca="1">IFERROR(RANK(F256,ProjectTimelineData[排名])+SUMPRODUCT(--(F256=ProjectTimelineData[排名]),--(J256&lt;ProjectTimelineData[NUM])),"")</f>
        <v/>
      </c>
      <c r="F256" s="3" t="str">
        <f ca="1">IFERROR(RANK(ProjectTimelineData[[#This Row],[日期]],ProjectTimelineData[日期],1),"")</f>
        <v/>
      </c>
      <c r="G256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5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56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56" s="2" t="str">
        <f ca="1">IFERROR(IF(ISBLANK(INDEX(ProjectDetails[#Data],ROW(A251)+1,1)),"",IF($J255-1&lt;=-1,"",$J255-1)),"")</f>
        <v/>
      </c>
      <c r="M256" s="3" t="str">
        <f ca="1">IFERROR(ProjectTimelineData[NUM]+1,"")</f>
        <v/>
      </c>
      <c r="N256" s="6" t="str">
        <f ca="1">IFERROR(VLOOKUP(SortedTimeline[经过排序的排名],ProjectTimelineData[],3,0),"")</f>
        <v/>
      </c>
      <c r="O256" s="2" t="str">
        <f ca="1">IFERROR(VLOOKUP(SortedTimeline[经过排序的排名],ProjectTimelineData[],4,0),"")</f>
        <v/>
      </c>
      <c r="P256" s="2" t="str">
        <f ca="1">IFERROR(VLOOKUP(SortedTimeline[经过排序的排名],ProjectTimelineData[],5,0),"")</f>
        <v/>
      </c>
    </row>
    <row r="257" spans="5:16" x14ac:dyDescent="0.3">
      <c r="E257" s="3" t="str">
        <f ca="1">IFERROR(RANK(F257,ProjectTimelineData[排名])+SUMPRODUCT(--(F257=ProjectTimelineData[排名]),--(J257&lt;ProjectTimelineData[NUM])),"")</f>
        <v/>
      </c>
      <c r="F257" s="3" t="str">
        <f ca="1">IFERROR(RANK(ProjectTimelineData[[#This Row],[日期]],ProjectTimelineData[日期],1),"")</f>
        <v/>
      </c>
      <c r="G257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5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57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57" s="2" t="str">
        <f ca="1">IFERROR(IF(ISBLANK(INDEX(ProjectDetails[#Data],ROW(A252)+1,1)),"",IF($J256-1&lt;=-1,"",$J256-1)),"")</f>
        <v/>
      </c>
      <c r="M257" s="3" t="str">
        <f ca="1">IFERROR(ProjectTimelineData[NUM]+1,"")</f>
        <v/>
      </c>
      <c r="N257" s="6" t="str">
        <f ca="1">IFERROR(VLOOKUP(SortedTimeline[经过排序的排名],ProjectTimelineData[],3,0),"")</f>
        <v/>
      </c>
      <c r="O257" s="2" t="str">
        <f ca="1">IFERROR(VLOOKUP(SortedTimeline[经过排序的排名],ProjectTimelineData[],4,0),"")</f>
        <v/>
      </c>
      <c r="P257" s="2" t="str">
        <f ca="1">IFERROR(VLOOKUP(SortedTimeline[经过排序的排名],ProjectTimelineData[],5,0),"")</f>
        <v/>
      </c>
    </row>
    <row r="258" spans="5:16" x14ac:dyDescent="0.3">
      <c r="E258" s="3" t="str">
        <f ca="1">IFERROR(RANK(F258,ProjectTimelineData[排名])+SUMPRODUCT(--(F258=ProjectTimelineData[排名]),--(J258&lt;ProjectTimelineData[NUM])),"")</f>
        <v/>
      </c>
      <c r="F258" s="3" t="str">
        <f ca="1">IFERROR(RANK(ProjectTimelineData[[#This Row],[日期]],ProjectTimelineData[日期],1),"")</f>
        <v/>
      </c>
      <c r="G258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5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58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58" s="2" t="str">
        <f ca="1">IFERROR(IF(ISBLANK(INDEX(ProjectDetails[#Data],ROW(A253)+1,1)),"",IF($J257-1&lt;=-1,"",$J257-1)),"")</f>
        <v/>
      </c>
      <c r="M258" s="3" t="str">
        <f ca="1">IFERROR(ProjectTimelineData[NUM]+1,"")</f>
        <v/>
      </c>
      <c r="N258" s="6" t="str">
        <f ca="1">IFERROR(VLOOKUP(SortedTimeline[经过排序的排名],ProjectTimelineData[],3,0),"")</f>
        <v/>
      </c>
      <c r="O258" s="2" t="str">
        <f ca="1">IFERROR(VLOOKUP(SortedTimeline[经过排序的排名],ProjectTimelineData[],4,0),"")</f>
        <v/>
      </c>
      <c r="P258" s="2" t="str">
        <f ca="1">IFERROR(VLOOKUP(SortedTimeline[经过排序的排名],ProjectTimelineData[],5,0),"")</f>
        <v/>
      </c>
    </row>
    <row r="259" spans="5:16" x14ac:dyDescent="0.3">
      <c r="E259" s="3" t="str">
        <f ca="1">IFERROR(RANK(F259,ProjectTimelineData[排名])+SUMPRODUCT(--(F259=ProjectTimelineData[排名]),--(J259&lt;ProjectTimelineData[NUM])),"")</f>
        <v/>
      </c>
      <c r="F259" s="3" t="str">
        <f ca="1">IFERROR(RANK(ProjectTimelineData[[#This Row],[日期]],ProjectTimelineData[日期],1),"")</f>
        <v/>
      </c>
      <c r="G259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5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59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59" s="2" t="str">
        <f ca="1">IFERROR(IF(ISBLANK(INDEX(ProjectDetails[#Data],ROW(A254)+1,1)),"",IF($J258-1&lt;=-1,"",$J258-1)),"")</f>
        <v/>
      </c>
      <c r="M259" s="3" t="str">
        <f ca="1">IFERROR(ProjectTimelineData[NUM]+1,"")</f>
        <v/>
      </c>
      <c r="N259" s="6" t="str">
        <f ca="1">IFERROR(VLOOKUP(SortedTimeline[经过排序的排名],ProjectTimelineData[],3,0),"")</f>
        <v/>
      </c>
      <c r="O259" s="2" t="str">
        <f ca="1">IFERROR(VLOOKUP(SortedTimeline[经过排序的排名],ProjectTimelineData[],4,0),"")</f>
        <v/>
      </c>
      <c r="P259" s="2" t="str">
        <f ca="1">IFERROR(VLOOKUP(SortedTimeline[经过排序的排名],ProjectTimelineData[],5,0),"")</f>
        <v/>
      </c>
    </row>
    <row r="260" spans="5:16" x14ac:dyDescent="0.3">
      <c r="E260" s="3" t="str">
        <f ca="1">IFERROR(RANK(F260,ProjectTimelineData[排名])+SUMPRODUCT(--(F260=ProjectTimelineData[排名]),--(J260&lt;ProjectTimelineData[NUM])),"")</f>
        <v/>
      </c>
      <c r="F260" s="3" t="str">
        <f ca="1">IFERROR(RANK(ProjectTimelineData[[#This Row],[日期]],ProjectTimelineData[日期],1),"")</f>
        <v/>
      </c>
      <c r="G260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60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60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60" s="2" t="str">
        <f ca="1">IFERROR(IF(ISBLANK(INDEX(ProjectDetails[#Data],ROW(A255)+1,1)),"",IF($J259-1&lt;=-1,"",$J259-1)),"")</f>
        <v/>
      </c>
      <c r="M260" s="3" t="str">
        <f ca="1">IFERROR(ProjectTimelineData[NUM]+1,"")</f>
        <v/>
      </c>
      <c r="N260" s="6" t="str">
        <f ca="1">IFERROR(VLOOKUP(SortedTimeline[经过排序的排名],ProjectTimelineData[],3,0),"")</f>
        <v/>
      </c>
      <c r="O260" s="2" t="str">
        <f ca="1">IFERROR(VLOOKUP(SortedTimeline[经过排序的排名],ProjectTimelineData[],4,0),"")</f>
        <v/>
      </c>
      <c r="P260" s="2" t="str">
        <f ca="1">IFERROR(VLOOKUP(SortedTimeline[经过排序的排名],ProjectTimelineData[],5,0),"")</f>
        <v/>
      </c>
    </row>
    <row r="261" spans="5:16" x14ac:dyDescent="0.3">
      <c r="E261" s="3" t="str">
        <f ca="1">IFERROR(RANK(F261,ProjectTimelineData[排名])+SUMPRODUCT(--(F261=ProjectTimelineData[排名]),--(J261&lt;ProjectTimelineData[NUM])),"")</f>
        <v/>
      </c>
      <c r="F261" s="3" t="str">
        <f ca="1">IFERROR(RANK(ProjectTimelineData[[#This Row],[日期]],ProjectTimelineData[日期],1),"")</f>
        <v/>
      </c>
      <c r="G261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61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61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61" s="2" t="str">
        <f ca="1">IFERROR(IF(ISBLANK(INDEX(ProjectDetails[#Data],ROW(A256)+1,1)),"",IF($J260-1&lt;=-1,"",$J260-1)),"")</f>
        <v/>
      </c>
      <c r="M261" s="3" t="str">
        <f ca="1">IFERROR(ProjectTimelineData[NUM]+1,"")</f>
        <v/>
      </c>
      <c r="N261" s="6" t="str">
        <f ca="1">IFERROR(VLOOKUP(SortedTimeline[经过排序的排名],ProjectTimelineData[],3,0),"")</f>
        <v/>
      </c>
      <c r="O261" s="2" t="str">
        <f ca="1">IFERROR(VLOOKUP(SortedTimeline[经过排序的排名],ProjectTimelineData[],4,0),"")</f>
        <v/>
      </c>
      <c r="P261" s="2" t="str">
        <f ca="1">IFERROR(VLOOKUP(SortedTimeline[经过排序的排名],ProjectTimelineData[],5,0),"")</f>
        <v/>
      </c>
    </row>
    <row r="262" spans="5:16" x14ac:dyDescent="0.3">
      <c r="E262" s="3" t="str">
        <f ca="1">IFERROR(RANK(F262,ProjectTimelineData[排名])+SUMPRODUCT(--(F262=ProjectTimelineData[排名]),--(J262&lt;ProjectTimelineData[NUM])),"")</f>
        <v/>
      </c>
      <c r="F262" s="3" t="str">
        <f ca="1">IFERROR(RANK(ProjectTimelineData[[#This Row],[日期]],ProjectTimelineData[日期],1),"")</f>
        <v/>
      </c>
      <c r="G262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62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62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62" s="2" t="str">
        <f ca="1">IFERROR(IF(ISBLANK(INDEX(ProjectDetails[#Data],ROW(A257)+1,1)),"",IF($J261-1&lt;=-1,"",$J261-1)),"")</f>
        <v/>
      </c>
      <c r="M262" s="3" t="str">
        <f ca="1">IFERROR(ProjectTimelineData[NUM]+1,"")</f>
        <v/>
      </c>
      <c r="N262" s="6" t="str">
        <f ca="1">IFERROR(VLOOKUP(SortedTimeline[经过排序的排名],ProjectTimelineData[],3,0),"")</f>
        <v/>
      </c>
      <c r="O262" s="2" t="str">
        <f ca="1">IFERROR(VLOOKUP(SortedTimeline[经过排序的排名],ProjectTimelineData[],4,0),"")</f>
        <v/>
      </c>
      <c r="P262" s="2" t="str">
        <f ca="1">IFERROR(VLOOKUP(SortedTimeline[经过排序的排名],ProjectTimelineData[],5,0),"")</f>
        <v/>
      </c>
    </row>
    <row r="263" spans="5:16" x14ac:dyDescent="0.3">
      <c r="E263" s="3" t="str">
        <f ca="1">IFERROR(RANK(F263,ProjectTimelineData[排名])+SUMPRODUCT(--(F263=ProjectTimelineData[排名]),--(J263&lt;ProjectTimelineData[NUM])),"")</f>
        <v/>
      </c>
      <c r="F263" s="3" t="str">
        <f ca="1">IFERROR(RANK(ProjectTimelineData[[#This Row],[日期]],ProjectTimelineData[日期],1),"")</f>
        <v/>
      </c>
      <c r="G263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63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63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63" s="2" t="str">
        <f ca="1">IFERROR(IF(ISBLANK(INDEX(ProjectDetails[#Data],ROW(A258)+1,1)),"",IF($J262-1&lt;=-1,"",$J262-1)),"")</f>
        <v/>
      </c>
      <c r="M263" s="3" t="str">
        <f ca="1">IFERROR(ProjectTimelineData[NUM]+1,"")</f>
        <v/>
      </c>
      <c r="N263" s="6" t="str">
        <f ca="1">IFERROR(VLOOKUP(SortedTimeline[经过排序的排名],ProjectTimelineData[],3,0),"")</f>
        <v/>
      </c>
      <c r="O263" s="2" t="str">
        <f ca="1">IFERROR(VLOOKUP(SortedTimeline[经过排序的排名],ProjectTimelineData[],4,0),"")</f>
        <v/>
      </c>
      <c r="P263" s="2" t="str">
        <f ca="1">IFERROR(VLOOKUP(SortedTimeline[经过排序的排名],ProjectTimelineData[],5,0),"")</f>
        <v/>
      </c>
    </row>
    <row r="264" spans="5:16" x14ac:dyDescent="0.3">
      <c r="E264" s="3" t="str">
        <f ca="1">IFERROR(RANK(F264,ProjectTimelineData[排名])+SUMPRODUCT(--(F264=ProjectTimelineData[排名]),--(J264&lt;ProjectTimelineData[NUM])),"")</f>
        <v/>
      </c>
      <c r="F264" s="3" t="str">
        <f ca="1">IFERROR(RANK(ProjectTimelineData[[#This Row],[日期]],ProjectTimelineData[日期],1),"")</f>
        <v/>
      </c>
      <c r="G264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64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64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64" s="2" t="str">
        <f ca="1">IFERROR(IF(ISBLANK(INDEX(ProjectDetails[#Data],ROW(A259)+1,1)),"",IF($J263-1&lt;=-1,"",$J263-1)),"")</f>
        <v/>
      </c>
      <c r="M264" s="3" t="str">
        <f ca="1">IFERROR(ProjectTimelineData[NUM]+1,"")</f>
        <v/>
      </c>
      <c r="N264" s="6" t="str">
        <f ca="1">IFERROR(VLOOKUP(SortedTimeline[经过排序的排名],ProjectTimelineData[],3,0),"")</f>
        <v/>
      </c>
      <c r="O264" s="2" t="str">
        <f ca="1">IFERROR(VLOOKUP(SortedTimeline[经过排序的排名],ProjectTimelineData[],4,0),"")</f>
        <v/>
      </c>
      <c r="P264" s="2" t="str">
        <f ca="1">IFERROR(VLOOKUP(SortedTimeline[经过排序的排名],ProjectTimelineData[],5,0),"")</f>
        <v/>
      </c>
    </row>
    <row r="265" spans="5:16" x14ac:dyDescent="0.3">
      <c r="E265" s="3" t="str">
        <f ca="1">IFERROR(RANK(F265,ProjectTimelineData[排名])+SUMPRODUCT(--(F265=ProjectTimelineData[排名]),--(J265&lt;ProjectTimelineData[NUM])),"")</f>
        <v/>
      </c>
      <c r="F265" s="3" t="str">
        <f ca="1">IFERROR(RANK(ProjectTimelineData[[#This Row],[日期]],ProjectTimelineData[日期],1),"")</f>
        <v/>
      </c>
      <c r="G265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65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65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65" s="2" t="str">
        <f ca="1">IFERROR(IF(ISBLANK(INDEX(ProjectDetails[#Data],ROW(A260)+1,1)),"",IF($J264-1&lt;=-1,"",$J264-1)),"")</f>
        <v/>
      </c>
      <c r="M265" s="3" t="str">
        <f ca="1">IFERROR(ProjectTimelineData[NUM]+1,"")</f>
        <v/>
      </c>
      <c r="N265" s="6" t="str">
        <f ca="1">IFERROR(VLOOKUP(SortedTimeline[经过排序的排名],ProjectTimelineData[],3,0),"")</f>
        <v/>
      </c>
      <c r="O265" s="2" t="str">
        <f ca="1">IFERROR(VLOOKUP(SortedTimeline[经过排序的排名],ProjectTimelineData[],4,0),"")</f>
        <v/>
      </c>
      <c r="P265" s="2" t="str">
        <f ca="1">IFERROR(VLOOKUP(SortedTimeline[经过排序的排名],ProjectTimelineData[],5,0),"")</f>
        <v/>
      </c>
    </row>
    <row r="266" spans="5:16" x14ac:dyDescent="0.3">
      <c r="E266" s="3" t="str">
        <f ca="1">IFERROR(RANK(F266,ProjectTimelineData[排名])+SUMPRODUCT(--(F266=ProjectTimelineData[排名]),--(J266&lt;ProjectTimelineData[NUM])),"")</f>
        <v/>
      </c>
      <c r="F266" s="3" t="str">
        <f ca="1">IFERROR(RANK(ProjectTimelineData[[#This Row],[日期]],ProjectTimelineData[日期],1),"")</f>
        <v/>
      </c>
      <c r="G266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6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66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66" s="2" t="str">
        <f ca="1">IFERROR(IF(ISBLANK(INDEX(ProjectDetails[#Data],ROW(A261)+1,1)),"",IF($J265-1&lt;=-1,"",$J265-1)),"")</f>
        <v/>
      </c>
      <c r="M266" s="3" t="str">
        <f ca="1">IFERROR(ProjectTimelineData[NUM]+1,"")</f>
        <v/>
      </c>
      <c r="N266" s="6" t="str">
        <f ca="1">IFERROR(VLOOKUP(SortedTimeline[经过排序的排名],ProjectTimelineData[],3,0),"")</f>
        <v/>
      </c>
      <c r="O266" s="2" t="str">
        <f ca="1">IFERROR(VLOOKUP(SortedTimeline[经过排序的排名],ProjectTimelineData[],4,0),"")</f>
        <v/>
      </c>
      <c r="P266" s="2" t="str">
        <f ca="1">IFERROR(VLOOKUP(SortedTimeline[经过排序的排名],ProjectTimelineData[],5,0),"")</f>
        <v/>
      </c>
    </row>
    <row r="267" spans="5:16" x14ac:dyDescent="0.3">
      <c r="E267" s="3" t="str">
        <f ca="1">IFERROR(RANK(F267,ProjectTimelineData[排名])+SUMPRODUCT(--(F267=ProjectTimelineData[排名]),--(J267&lt;ProjectTimelineData[NUM])),"")</f>
        <v/>
      </c>
      <c r="F267" s="3" t="str">
        <f ca="1">IFERROR(RANK(ProjectTimelineData[[#This Row],[日期]],ProjectTimelineData[日期],1),"")</f>
        <v/>
      </c>
      <c r="G267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6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67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67" s="2" t="str">
        <f ca="1">IFERROR(IF(ISBLANK(INDEX(ProjectDetails[#Data],ROW(A262)+1,1)),"",IF($J266-1&lt;=-1,"",$J266-1)),"")</f>
        <v/>
      </c>
      <c r="M267" s="3" t="str">
        <f ca="1">IFERROR(ProjectTimelineData[NUM]+1,"")</f>
        <v/>
      </c>
      <c r="N267" s="6" t="str">
        <f ca="1">IFERROR(VLOOKUP(SortedTimeline[经过排序的排名],ProjectTimelineData[],3,0),"")</f>
        <v/>
      </c>
      <c r="O267" s="2" t="str">
        <f ca="1">IFERROR(VLOOKUP(SortedTimeline[经过排序的排名],ProjectTimelineData[],4,0),"")</f>
        <v/>
      </c>
      <c r="P267" s="2" t="str">
        <f ca="1">IFERROR(VLOOKUP(SortedTimeline[经过排序的排名],ProjectTimelineData[],5,0),"")</f>
        <v/>
      </c>
    </row>
    <row r="268" spans="5:16" x14ac:dyDescent="0.3">
      <c r="E268" s="3" t="str">
        <f ca="1">IFERROR(RANK(F268,ProjectTimelineData[排名])+SUMPRODUCT(--(F268=ProjectTimelineData[排名]),--(J268&lt;ProjectTimelineData[NUM])),"")</f>
        <v/>
      </c>
      <c r="F268" s="3" t="str">
        <f ca="1">IFERROR(RANK(ProjectTimelineData[[#This Row],[日期]],ProjectTimelineData[日期],1),"")</f>
        <v/>
      </c>
      <c r="G268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6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68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68" s="2" t="str">
        <f ca="1">IFERROR(IF(ISBLANK(INDEX(ProjectDetails[#Data],ROW(A263)+1,1)),"",IF($J267-1&lt;=-1,"",$J267-1)),"")</f>
        <v/>
      </c>
      <c r="M268" s="3" t="str">
        <f ca="1">IFERROR(ProjectTimelineData[NUM]+1,"")</f>
        <v/>
      </c>
      <c r="N268" s="6" t="str">
        <f ca="1">IFERROR(VLOOKUP(SortedTimeline[经过排序的排名],ProjectTimelineData[],3,0),"")</f>
        <v/>
      </c>
      <c r="O268" s="2" t="str">
        <f ca="1">IFERROR(VLOOKUP(SortedTimeline[经过排序的排名],ProjectTimelineData[],4,0),"")</f>
        <v/>
      </c>
      <c r="P268" s="2" t="str">
        <f ca="1">IFERROR(VLOOKUP(SortedTimeline[经过排序的排名],ProjectTimelineData[],5,0),"")</f>
        <v/>
      </c>
    </row>
    <row r="269" spans="5:16" x14ac:dyDescent="0.3">
      <c r="E269" s="3" t="str">
        <f ca="1">IFERROR(RANK(F269,ProjectTimelineData[排名])+SUMPRODUCT(--(F269=ProjectTimelineData[排名]),--(J269&lt;ProjectTimelineData[NUM])),"")</f>
        <v/>
      </c>
      <c r="F269" s="3" t="str">
        <f ca="1">IFERROR(RANK(ProjectTimelineData[[#This Row],[日期]],ProjectTimelineData[日期],1),"")</f>
        <v/>
      </c>
      <c r="G269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6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69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69" s="2" t="str">
        <f ca="1">IFERROR(IF(ISBLANK(INDEX(ProjectDetails[#Data],ROW(A264)+1,1)),"",IF($J268-1&lt;=-1,"",$J268-1)),"")</f>
        <v/>
      </c>
      <c r="M269" s="3" t="str">
        <f ca="1">IFERROR(ProjectTimelineData[NUM]+1,"")</f>
        <v/>
      </c>
      <c r="N269" s="6" t="str">
        <f ca="1">IFERROR(VLOOKUP(SortedTimeline[经过排序的排名],ProjectTimelineData[],3,0),"")</f>
        <v/>
      </c>
      <c r="O269" s="2" t="str">
        <f ca="1">IFERROR(VLOOKUP(SortedTimeline[经过排序的排名],ProjectTimelineData[],4,0),"")</f>
        <v/>
      </c>
      <c r="P269" s="2" t="str">
        <f ca="1">IFERROR(VLOOKUP(SortedTimeline[经过排序的排名],ProjectTimelineData[],5,0),"")</f>
        <v/>
      </c>
    </row>
    <row r="270" spans="5:16" x14ac:dyDescent="0.3">
      <c r="E270" s="3" t="str">
        <f ca="1">IFERROR(RANK(F270,ProjectTimelineData[排名])+SUMPRODUCT(--(F270=ProjectTimelineData[排名]),--(J270&lt;ProjectTimelineData[NUM])),"")</f>
        <v/>
      </c>
      <c r="F270" s="3" t="str">
        <f ca="1">IFERROR(RANK(ProjectTimelineData[[#This Row],[日期]],ProjectTimelineData[日期],1),"")</f>
        <v/>
      </c>
      <c r="G270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70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70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70" s="2" t="str">
        <f ca="1">IFERROR(IF(ISBLANK(INDEX(ProjectDetails[#Data],ROW(A265)+1,1)),"",IF($J269-1&lt;=-1,"",$J269-1)),"")</f>
        <v/>
      </c>
      <c r="M270" s="3" t="str">
        <f ca="1">IFERROR(ProjectTimelineData[NUM]+1,"")</f>
        <v/>
      </c>
      <c r="N270" s="6" t="str">
        <f ca="1">IFERROR(VLOOKUP(SortedTimeline[经过排序的排名],ProjectTimelineData[],3,0),"")</f>
        <v/>
      </c>
      <c r="O270" s="2" t="str">
        <f ca="1">IFERROR(VLOOKUP(SortedTimeline[经过排序的排名],ProjectTimelineData[],4,0),"")</f>
        <v/>
      </c>
      <c r="P270" s="2" t="str">
        <f ca="1">IFERROR(VLOOKUP(SortedTimeline[经过排序的排名],ProjectTimelineData[],5,0),"")</f>
        <v/>
      </c>
    </row>
    <row r="271" spans="5:16" x14ac:dyDescent="0.3">
      <c r="E271" s="3" t="str">
        <f ca="1">IFERROR(RANK(F271,ProjectTimelineData[排名])+SUMPRODUCT(--(F271=ProjectTimelineData[排名]),--(J271&lt;ProjectTimelineData[NUM])),"")</f>
        <v/>
      </c>
      <c r="F271" s="3" t="str">
        <f ca="1">IFERROR(RANK(ProjectTimelineData[[#This Row],[日期]],ProjectTimelineData[日期],1),"")</f>
        <v/>
      </c>
      <c r="G271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71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71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71" s="2" t="str">
        <f ca="1">IFERROR(IF(ISBLANK(INDEX(ProjectDetails[#Data],ROW(A266)+1,1)),"",IF($J270-1&lt;=-1,"",$J270-1)),"")</f>
        <v/>
      </c>
      <c r="M271" s="3" t="str">
        <f ca="1">IFERROR(ProjectTimelineData[NUM]+1,"")</f>
        <v/>
      </c>
      <c r="N271" s="6" t="str">
        <f ca="1">IFERROR(VLOOKUP(SortedTimeline[经过排序的排名],ProjectTimelineData[],3,0),"")</f>
        <v/>
      </c>
      <c r="O271" s="2" t="str">
        <f ca="1">IFERROR(VLOOKUP(SortedTimeline[经过排序的排名],ProjectTimelineData[],4,0),"")</f>
        <v/>
      </c>
      <c r="P271" s="2" t="str">
        <f ca="1">IFERROR(VLOOKUP(SortedTimeline[经过排序的排名],ProjectTimelineData[],5,0),"")</f>
        <v/>
      </c>
    </row>
    <row r="272" spans="5:16" x14ac:dyDescent="0.3">
      <c r="E272" s="3" t="str">
        <f ca="1">IFERROR(RANK(F272,ProjectTimelineData[排名])+SUMPRODUCT(--(F272=ProjectTimelineData[排名]),--(J272&lt;ProjectTimelineData[NUM])),"")</f>
        <v/>
      </c>
      <c r="F272" s="3" t="str">
        <f ca="1">IFERROR(RANK(ProjectTimelineData[[#This Row],[日期]],ProjectTimelineData[日期],1),"")</f>
        <v/>
      </c>
      <c r="G272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72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72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72" s="2" t="str">
        <f ca="1">IFERROR(IF(ISBLANK(INDEX(ProjectDetails[#Data],ROW(A267)+1,1)),"",IF($J271-1&lt;=-1,"",$J271-1)),"")</f>
        <v/>
      </c>
      <c r="M272" s="3" t="str">
        <f ca="1">IFERROR(ProjectTimelineData[NUM]+1,"")</f>
        <v/>
      </c>
      <c r="N272" s="6" t="str">
        <f ca="1">IFERROR(VLOOKUP(SortedTimeline[经过排序的排名],ProjectTimelineData[],3,0),"")</f>
        <v/>
      </c>
      <c r="O272" s="2" t="str">
        <f ca="1">IFERROR(VLOOKUP(SortedTimeline[经过排序的排名],ProjectTimelineData[],4,0),"")</f>
        <v/>
      </c>
      <c r="P272" s="2" t="str">
        <f ca="1">IFERROR(VLOOKUP(SortedTimeline[经过排序的排名],ProjectTimelineData[],5,0),"")</f>
        <v/>
      </c>
    </row>
    <row r="273" spans="5:16" x14ac:dyDescent="0.3">
      <c r="E273" s="3" t="str">
        <f ca="1">IFERROR(RANK(F273,ProjectTimelineData[排名])+SUMPRODUCT(--(F273=ProjectTimelineData[排名]),--(J273&lt;ProjectTimelineData[NUM])),"")</f>
        <v/>
      </c>
      <c r="F273" s="3" t="str">
        <f ca="1">IFERROR(RANK(ProjectTimelineData[[#This Row],[日期]],ProjectTimelineData[日期],1),"")</f>
        <v/>
      </c>
      <c r="G273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73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73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73" s="2" t="str">
        <f ca="1">IFERROR(IF(ISBLANK(INDEX(ProjectDetails[#Data],ROW(A268)+1,1)),"",IF($J272-1&lt;=-1,"",$J272-1)),"")</f>
        <v/>
      </c>
      <c r="M273" s="3" t="str">
        <f ca="1">IFERROR(ProjectTimelineData[NUM]+1,"")</f>
        <v/>
      </c>
      <c r="N273" s="6" t="str">
        <f ca="1">IFERROR(VLOOKUP(SortedTimeline[经过排序的排名],ProjectTimelineData[],3,0),"")</f>
        <v/>
      </c>
      <c r="O273" s="2" t="str">
        <f ca="1">IFERROR(VLOOKUP(SortedTimeline[经过排序的排名],ProjectTimelineData[],4,0),"")</f>
        <v/>
      </c>
      <c r="P273" s="2" t="str">
        <f ca="1">IFERROR(VLOOKUP(SortedTimeline[经过排序的排名],ProjectTimelineData[],5,0),"")</f>
        <v/>
      </c>
    </row>
    <row r="274" spans="5:16" x14ac:dyDescent="0.3">
      <c r="E274" s="3" t="str">
        <f ca="1">IFERROR(RANK(F274,ProjectTimelineData[排名])+SUMPRODUCT(--(F274=ProjectTimelineData[排名]),--(J274&lt;ProjectTimelineData[NUM])),"")</f>
        <v/>
      </c>
      <c r="F274" s="3" t="str">
        <f ca="1">IFERROR(RANK(ProjectTimelineData[[#This Row],[日期]],ProjectTimelineData[日期],1),"")</f>
        <v/>
      </c>
      <c r="G274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74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74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74" s="2" t="str">
        <f ca="1">IFERROR(IF(ISBLANK(INDEX(ProjectDetails[#Data],ROW(A269)+1,1)),"",IF($J273-1&lt;=-1,"",$J273-1)),"")</f>
        <v/>
      </c>
      <c r="M274" s="3" t="str">
        <f ca="1">IFERROR(ProjectTimelineData[NUM]+1,"")</f>
        <v/>
      </c>
      <c r="N274" s="6" t="str">
        <f ca="1">IFERROR(VLOOKUP(SortedTimeline[经过排序的排名],ProjectTimelineData[],3,0),"")</f>
        <v/>
      </c>
      <c r="O274" s="2" t="str">
        <f ca="1">IFERROR(VLOOKUP(SortedTimeline[经过排序的排名],ProjectTimelineData[],4,0),"")</f>
        <v/>
      </c>
      <c r="P274" s="2" t="str">
        <f ca="1">IFERROR(VLOOKUP(SortedTimeline[经过排序的排名],ProjectTimelineData[],5,0),"")</f>
        <v/>
      </c>
    </row>
    <row r="275" spans="5:16" x14ac:dyDescent="0.3">
      <c r="E275" s="3" t="str">
        <f ca="1">IFERROR(RANK(F275,ProjectTimelineData[排名])+SUMPRODUCT(--(F275=ProjectTimelineData[排名]),--(J275&lt;ProjectTimelineData[NUM])),"")</f>
        <v/>
      </c>
      <c r="F275" s="3" t="str">
        <f ca="1">IFERROR(RANK(ProjectTimelineData[[#This Row],[日期]],ProjectTimelineData[日期],1),"")</f>
        <v/>
      </c>
      <c r="G275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75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75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75" s="2" t="str">
        <f ca="1">IFERROR(IF(ISBLANK(INDEX(ProjectDetails[#Data],ROW(A270)+1,1)),"",IF($J274-1&lt;=-1,"",$J274-1)),"")</f>
        <v/>
      </c>
      <c r="M275" s="3" t="str">
        <f ca="1">IFERROR(ProjectTimelineData[NUM]+1,"")</f>
        <v/>
      </c>
      <c r="N275" s="6" t="str">
        <f ca="1">IFERROR(VLOOKUP(SortedTimeline[经过排序的排名],ProjectTimelineData[],3,0),"")</f>
        <v/>
      </c>
      <c r="O275" s="2" t="str">
        <f ca="1">IFERROR(VLOOKUP(SortedTimeline[经过排序的排名],ProjectTimelineData[],4,0),"")</f>
        <v/>
      </c>
      <c r="P275" s="2" t="str">
        <f ca="1">IFERROR(VLOOKUP(SortedTimeline[经过排序的排名],ProjectTimelineData[],5,0),"")</f>
        <v/>
      </c>
    </row>
    <row r="276" spans="5:16" x14ac:dyDescent="0.3">
      <c r="E276" s="3" t="str">
        <f ca="1">IFERROR(RANK(F276,ProjectTimelineData[排名])+SUMPRODUCT(--(F276=ProjectTimelineData[排名]),--(J276&lt;ProjectTimelineData[NUM])),"")</f>
        <v/>
      </c>
      <c r="F276" s="3" t="str">
        <f ca="1">IFERROR(RANK(ProjectTimelineData[[#This Row],[日期]],ProjectTimelineData[日期],1),"")</f>
        <v/>
      </c>
      <c r="G276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7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76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76" s="2" t="str">
        <f ca="1">IFERROR(IF(ISBLANK(INDEX(ProjectDetails[#Data],ROW(A271)+1,1)),"",IF($J275-1&lt;=-1,"",$J275-1)),"")</f>
        <v/>
      </c>
      <c r="M276" s="3" t="str">
        <f ca="1">IFERROR(ProjectTimelineData[NUM]+1,"")</f>
        <v/>
      </c>
      <c r="N276" s="6" t="str">
        <f ca="1">IFERROR(VLOOKUP(SortedTimeline[经过排序的排名],ProjectTimelineData[],3,0),"")</f>
        <v/>
      </c>
      <c r="O276" s="2" t="str">
        <f ca="1">IFERROR(VLOOKUP(SortedTimeline[经过排序的排名],ProjectTimelineData[],4,0),"")</f>
        <v/>
      </c>
      <c r="P276" s="2" t="str">
        <f ca="1">IFERROR(VLOOKUP(SortedTimeline[经过排序的排名],ProjectTimelineData[],5,0),"")</f>
        <v/>
      </c>
    </row>
    <row r="277" spans="5:16" x14ac:dyDescent="0.3">
      <c r="E277" s="3" t="str">
        <f ca="1">IFERROR(RANK(F277,ProjectTimelineData[排名])+SUMPRODUCT(--(F277=ProjectTimelineData[排名]),--(J277&lt;ProjectTimelineData[NUM])),"")</f>
        <v/>
      </c>
      <c r="F277" s="3" t="str">
        <f ca="1">IFERROR(RANK(ProjectTimelineData[[#This Row],[日期]],ProjectTimelineData[日期],1),"")</f>
        <v/>
      </c>
      <c r="G277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7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77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77" s="2" t="str">
        <f ca="1">IFERROR(IF(ISBLANK(INDEX(ProjectDetails[#Data],ROW(A272)+1,1)),"",IF($J276-1&lt;=-1,"",$J276-1)),"")</f>
        <v/>
      </c>
      <c r="M277" s="3" t="str">
        <f ca="1">IFERROR(ProjectTimelineData[NUM]+1,"")</f>
        <v/>
      </c>
      <c r="N277" s="6" t="str">
        <f ca="1">IFERROR(VLOOKUP(SortedTimeline[经过排序的排名],ProjectTimelineData[],3,0),"")</f>
        <v/>
      </c>
      <c r="O277" s="2" t="str">
        <f ca="1">IFERROR(VLOOKUP(SortedTimeline[经过排序的排名],ProjectTimelineData[],4,0),"")</f>
        <v/>
      </c>
      <c r="P277" s="2" t="str">
        <f ca="1">IFERROR(VLOOKUP(SortedTimeline[经过排序的排名],ProjectTimelineData[],5,0),"")</f>
        <v/>
      </c>
    </row>
    <row r="278" spans="5:16" x14ac:dyDescent="0.3">
      <c r="E278" s="3" t="str">
        <f ca="1">IFERROR(RANK(F278,ProjectTimelineData[排名])+SUMPRODUCT(--(F278=ProjectTimelineData[排名]),--(J278&lt;ProjectTimelineData[NUM])),"")</f>
        <v/>
      </c>
      <c r="F278" s="3" t="str">
        <f ca="1">IFERROR(RANK(ProjectTimelineData[[#This Row],[日期]],ProjectTimelineData[日期],1),"")</f>
        <v/>
      </c>
      <c r="G278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7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78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78" s="2" t="str">
        <f ca="1">IFERROR(IF(ISBLANK(INDEX(ProjectDetails[#Data],ROW(A273)+1,1)),"",IF($J277-1&lt;=-1,"",$J277-1)),"")</f>
        <v/>
      </c>
      <c r="M278" s="3" t="str">
        <f ca="1">IFERROR(ProjectTimelineData[NUM]+1,"")</f>
        <v/>
      </c>
      <c r="N278" s="6" t="str">
        <f ca="1">IFERROR(VLOOKUP(SortedTimeline[经过排序的排名],ProjectTimelineData[],3,0),"")</f>
        <v/>
      </c>
      <c r="O278" s="2" t="str">
        <f ca="1">IFERROR(VLOOKUP(SortedTimeline[经过排序的排名],ProjectTimelineData[],4,0),"")</f>
        <v/>
      </c>
      <c r="P278" s="2" t="str">
        <f ca="1">IFERROR(VLOOKUP(SortedTimeline[经过排序的排名],ProjectTimelineData[],5,0),"")</f>
        <v/>
      </c>
    </row>
    <row r="279" spans="5:16" x14ac:dyDescent="0.3">
      <c r="E279" s="3" t="str">
        <f ca="1">IFERROR(RANK(F279,ProjectTimelineData[排名])+SUMPRODUCT(--(F279=ProjectTimelineData[排名]),--(J279&lt;ProjectTimelineData[NUM])),"")</f>
        <v/>
      </c>
      <c r="F279" s="3" t="str">
        <f ca="1">IFERROR(RANK(ProjectTimelineData[[#This Row],[日期]],ProjectTimelineData[日期],1),"")</f>
        <v/>
      </c>
      <c r="G279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7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79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79" s="2" t="str">
        <f ca="1">IFERROR(IF(ISBLANK(INDEX(ProjectDetails[#Data],ROW(A274)+1,1)),"",IF($J278-1&lt;=-1,"",$J278-1)),"")</f>
        <v/>
      </c>
      <c r="M279" s="3" t="str">
        <f ca="1">IFERROR(ProjectTimelineData[NUM]+1,"")</f>
        <v/>
      </c>
      <c r="N279" s="6" t="str">
        <f ca="1">IFERROR(VLOOKUP(SortedTimeline[经过排序的排名],ProjectTimelineData[],3,0),"")</f>
        <v/>
      </c>
      <c r="O279" s="2" t="str">
        <f ca="1">IFERROR(VLOOKUP(SortedTimeline[经过排序的排名],ProjectTimelineData[],4,0),"")</f>
        <v/>
      </c>
      <c r="P279" s="2" t="str">
        <f ca="1">IFERROR(VLOOKUP(SortedTimeline[经过排序的排名],ProjectTimelineData[],5,0),"")</f>
        <v/>
      </c>
    </row>
    <row r="280" spans="5:16" x14ac:dyDescent="0.3">
      <c r="E280" s="3" t="str">
        <f ca="1">IFERROR(RANK(F280,ProjectTimelineData[排名])+SUMPRODUCT(--(F280=ProjectTimelineData[排名]),--(J280&lt;ProjectTimelineData[NUM])),"")</f>
        <v/>
      </c>
      <c r="F280" s="3" t="str">
        <f ca="1">IFERROR(RANK(ProjectTimelineData[[#This Row],[日期]],ProjectTimelineData[日期],1),"")</f>
        <v/>
      </c>
      <c r="G280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80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80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80" s="2" t="str">
        <f ca="1">IFERROR(IF(ISBLANK(INDEX(ProjectDetails[#Data],ROW(A275)+1,1)),"",IF($J279-1&lt;=-1,"",$J279-1)),"")</f>
        <v/>
      </c>
      <c r="M280" s="3" t="str">
        <f ca="1">IFERROR(ProjectTimelineData[NUM]+1,"")</f>
        <v/>
      </c>
      <c r="N280" s="6" t="str">
        <f ca="1">IFERROR(VLOOKUP(SortedTimeline[经过排序的排名],ProjectTimelineData[],3,0),"")</f>
        <v/>
      </c>
      <c r="O280" s="2" t="str">
        <f ca="1">IFERROR(VLOOKUP(SortedTimeline[经过排序的排名],ProjectTimelineData[],4,0),"")</f>
        <v/>
      </c>
      <c r="P280" s="2" t="str">
        <f ca="1">IFERROR(VLOOKUP(SortedTimeline[经过排序的排名],ProjectTimelineData[],5,0),"")</f>
        <v/>
      </c>
    </row>
    <row r="281" spans="5:16" x14ac:dyDescent="0.3">
      <c r="E281" s="3" t="str">
        <f ca="1">IFERROR(RANK(F281,ProjectTimelineData[排名])+SUMPRODUCT(--(F281=ProjectTimelineData[排名]),--(J281&lt;ProjectTimelineData[NUM])),"")</f>
        <v/>
      </c>
      <c r="F281" s="3" t="str">
        <f ca="1">IFERROR(RANK(ProjectTimelineData[[#This Row],[日期]],ProjectTimelineData[日期],1),"")</f>
        <v/>
      </c>
      <c r="G281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81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81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81" s="2" t="str">
        <f ca="1">IFERROR(IF(ISBLANK(INDEX(ProjectDetails[#Data],ROW(A276)+1,1)),"",IF($J280-1&lt;=-1,"",$J280-1)),"")</f>
        <v/>
      </c>
      <c r="M281" s="3" t="str">
        <f ca="1">IFERROR(ProjectTimelineData[NUM]+1,"")</f>
        <v/>
      </c>
      <c r="N281" s="6" t="str">
        <f ca="1">IFERROR(VLOOKUP(SortedTimeline[经过排序的排名],ProjectTimelineData[],3,0),"")</f>
        <v/>
      </c>
      <c r="O281" s="2" t="str">
        <f ca="1">IFERROR(VLOOKUP(SortedTimeline[经过排序的排名],ProjectTimelineData[],4,0),"")</f>
        <v/>
      </c>
      <c r="P281" s="2" t="str">
        <f ca="1">IFERROR(VLOOKUP(SortedTimeline[经过排序的排名],ProjectTimelineData[],5,0),"")</f>
        <v/>
      </c>
    </row>
    <row r="282" spans="5:16" x14ac:dyDescent="0.3">
      <c r="E282" s="3" t="str">
        <f ca="1">IFERROR(RANK(F282,ProjectTimelineData[排名])+SUMPRODUCT(--(F282=ProjectTimelineData[排名]),--(J282&lt;ProjectTimelineData[NUM])),"")</f>
        <v/>
      </c>
      <c r="F282" s="3" t="str">
        <f ca="1">IFERROR(RANK(ProjectTimelineData[[#This Row],[日期]],ProjectTimelineData[日期],1),"")</f>
        <v/>
      </c>
      <c r="G282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82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82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82" s="2" t="str">
        <f ca="1">IFERROR(IF(ISBLANK(INDEX(ProjectDetails[#Data],ROW(A277)+1,1)),"",IF($J281-1&lt;=-1,"",$J281-1)),"")</f>
        <v/>
      </c>
      <c r="M282" s="3" t="str">
        <f ca="1">IFERROR(ProjectTimelineData[NUM]+1,"")</f>
        <v/>
      </c>
      <c r="N282" s="6" t="str">
        <f ca="1">IFERROR(VLOOKUP(SortedTimeline[经过排序的排名],ProjectTimelineData[],3,0),"")</f>
        <v/>
      </c>
      <c r="O282" s="2" t="str">
        <f ca="1">IFERROR(VLOOKUP(SortedTimeline[经过排序的排名],ProjectTimelineData[],4,0),"")</f>
        <v/>
      </c>
      <c r="P282" s="2" t="str">
        <f ca="1">IFERROR(VLOOKUP(SortedTimeline[经过排序的排名],ProjectTimelineData[],5,0),"")</f>
        <v/>
      </c>
    </row>
    <row r="283" spans="5:16" x14ac:dyDescent="0.3">
      <c r="E283" s="3" t="str">
        <f ca="1">IFERROR(RANK(F283,ProjectTimelineData[排名])+SUMPRODUCT(--(F283=ProjectTimelineData[排名]),--(J283&lt;ProjectTimelineData[NUM])),"")</f>
        <v/>
      </c>
      <c r="F283" s="3" t="str">
        <f ca="1">IFERROR(RANK(ProjectTimelineData[[#This Row],[日期]],ProjectTimelineData[日期],1),"")</f>
        <v/>
      </c>
      <c r="G283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83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83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83" s="2" t="str">
        <f ca="1">IFERROR(IF(ISBLANK(INDEX(ProjectDetails[#Data],ROW(A278)+1,1)),"",IF($J282-1&lt;=-1,"",$J282-1)),"")</f>
        <v/>
      </c>
      <c r="M283" s="3" t="str">
        <f ca="1">IFERROR(ProjectTimelineData[NUM]+1,"")</f>
        <v/>
      </c>
      <c r="N283" s="6" t="str">
        <f ca="1">IFERROR(VLOOKUP(SortedTimeline[经过排序的排名],ProjectTimelineData[],3,0),"")</f>
        <v/>
      </c>
      <c r="O283" s="2" t="str">
        <f ca="1">IFERROR(VLOOKUP(SortedTimeline[经过排序的排名],ProjectTimelineData[],4,0),"")</f>
        <v/>
      </c>
      <c r="P283" s="2" t="str">
        <f ca="1">IFERROR(VLOOKUP(SortedTimeline[经过排序的排名],ProjectTimelineData[],5,0),"")</f>
        <v/>
      </c>
    </row>
    <row r="284" spans="5:16" x14ac:dyDescent="0.3">
      <c r="E284" s="3" t="str">
        <f ca="1">IFERROR(RANK(F284,ProjectTimelineData[排名])+SUMPRODUCT(--(F284=ProjectTimelineData[排名]),--(J284&lt;ProjectTimelineData[NUM])),"")</f>
        <v/>
      </c>
      <c r="F284" s="3" t="str">
        <f ca="1">IFERROR(RANK(ProjectTimelineData[[#This Row],[日期]],ProjectTimelineData[日期],1),"")</f>
        <v/>
      </c>
      <c r="G284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84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84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84" s="2" t="str">
        <f ca="1">IFERROR(IF(ISBLANK(INDEX(ProjectDetails[#Data],ROW(A279)+1,1)),"",IF($J283-1&lt;=-1,"",$J283-1)),"")</f>
        <v/>
      </c>
      <c r="M284" s="3" t="str">
        <f ca="1">IFERROR(ProjectTimelineData[NUM]+1,"")</f>
        <v/>
      </c>
      <c r="N284" s="6" t="str">
        <f ca="1">IFERROR(VLOOKUP(SortedTimeline[经过排序的排名],ProjectTimelineData[],3,0),"")</f>
        <v/>
      </c>
      <c r="O284" s="2" t="str">
        <f ca="1">IFERROR(VLOOKUP(SortedTimeline[经过排序的排名],ProjectTimelineData[],4,0),"")</f>
        <v/>
      </c>
      <c r="P284" s="2" t="str">
        <f ca="1">IFERROR(VLOOKUP(SortedTimeline[经过排序的排名],ProjectTimelineData[],5,0),"")</f>
        <v/>
      </c>
    </row>
    <row r="285" spans="5:16" x14ac:dyDescent="0.3">
      <c r="E285" s="3" t="str">
        <f ca="1">IFERROR(RANK(F285,ProjectTimelineData[排名])+SUMPRODUCT(--(F285=ProjectTimelineData[排名]),--(J285&lt;ProjectTimelineData[NUM])),"")</f>
        <v/>
      </c>
      <c r="F285" s="3" t="str">
        <f ca="1">IFERROR(RANK(ProjectTimelineData[[#This Row],[日期]],ProjectTimelineData[日期],1),"")</f>
        <v/>
      </c>
      <c r="G285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85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85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85" s="2" t="str">
        <f ca="1">IFERROR(IF(ISBLANK(INDEX(ProjectDetails[#Data],ROW(A280)+1,1)),"",IF($J284-1&lt;=-1,"",$J284-1)),"")</f>
        <v/>
      </c>
      <c r="M285" s="3" t="str">
        <f ca="1">IFERROR(ProjectTimelineData[NUM]+1,"")</f>
        <v/>
      </c>
      <c r="N285" s="6" t="str">
        <f ca="1">IFERROR(VLOOKUP(SortedTimeline[经过排序的排名],ProjectTimelineData[],3,0),"")</f>
        <v/>
      </c>
      <c r="O285" s="2" t="str">
        <f ca="1">IFERROR(VLOOKUP(SortedTimeline[经过排序的排名],ProjectTimelineData[],4,0),"")</f>
        <v/>
      </c>
      <c r="P285" s="2" t="str">
        <f ca="1">IFERROR(VLOOKUP(SortedTimeline[经过排序的排名],ProjectTimelineData[],5,0),"")</f>
        <v/>
      </c>
    </row>
    <row r="286" spans="5:16" x14ac:dyDescent="0.3">
      <c r="E286" s="3" t="str">
        <f ca="1">IFERROR(RANK(F286,ProjectTimelineData[排名])+SUMPRODUCT(--(F286=ProjectTimelineData[排名]),--(J286&lt;ProjectTimelineData[NUM])),"")</f>
        <v/>
      </c>
      <c r="F286" s="3" t="str">
        <f ca="1">IFERROR(RANK(ProjectTimelineData[[#This Row],[日期]],ProjectTimelineData[日期],1),"")</f>
        <v/>
      </c>
      <c r="G286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8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86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86" s="2" t="str">
        <f ca="1">IFERROR(IF(ISBLANK(INDEX(ProjectDetails[#Data],ROW(A281)+1,1)),"",IF($J285-1&lt;=-1,"",$J285-1)),"")</f>
        <v/>
      </c>
      <c r="M286" s="3" t="str">
        <f ca="1">IFERROR(ProjectTimelineData[NUM]+1,"")</f>
        <v/>
      </c>
      <c r="N286" s="6" t="str">
        <f ca="1">IFERROR(VLOOKUP(SortedTimeline[经过排序的排名],ProjectTimelineData[],3,0),"")</f>
        <v/>
      </c>
      <c r="O286" s="2" t="str">
        <f ca="1">IFERROR(VLOOKUP(SortedTimeline[经过排序的排名],ProjectTimelineData[],4,0),"")</f>
        <v/>
      </c>
      <c r="P286" s="2" t="str">
        <f ca="1">IFERROR(VLOOKUP(SortedTimeline[经过排序的排名],ProjectTimelineData[],5,0),"")</f>
        <v/>
      </c>
    </row>
    <row r="287" spans="5:16" x14ac:dyDescent="0.3">
      <c r="E287" s="3" t="str">
        <f ca="1">IFERROR(RANK(F287,ProjectTimelineData[排名])+SUMPRODUCT(--(F287=ProjectTimelineData[排名]),--(J287&lt;ProjectTimelineData[NUM])),"")</f>
        <v/>
      </c>
      <c r="F287" s="3" t="str">
        <f ca="1">IFERROR(RANK(ProjectTimelineData[[#This Row],[日期]],ProjectTimelineData[日期],1),"")</f>
        <v/>
      </c>
      <c r="G287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8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87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87" s="2" t="str">
        <f ca="1">IFERROR(IF(ISBLANK(INDEX(ProjectDetails[#Data],ROW(A282)+1,1)),"",IF($J286-1&lt;=-1,"",$J286-1)),"")</f>
        <v/>
      </c>
      <c r="M287" s="3" t="str">
        <f ca="1">IFERROR(ProjectTimelineData[NUM]+1,"")</f>
        <v/>
      </c>
      <c r="N287" s="6" t="str">
        <f ca="1">IFERROR(VLOOKUP(SortedTimeline[经过排序的排名],ProjectTimelineData[],3,0),"")</f>
        <v/>
      </c>
      <c r="O287" s="2" t="str">
        <f ca="1">IFERROR(VLOOKUP(SortedTimeline[经过排序的排名],ProjectTimelineData[],4,0),"")</f>
        <v/>
      </c>
      <c r="P287" s="2" t="str">
        <f ca="1">IFERROR(VLOOKUP(SortedTimeline[经过排序的排名],ProjectTimelineData[],5,0),"")</f>
        <v/>
      </c>
    </row>
    <row r="288" spans="5:16" x14ac:dyDescent="0.3">
      <c r="E288" s="3" t="str">
        <f ca="1">IFERROR(RANK(F288,ProjectTimelineData[排名])+SUMPRODUCT(--(F288=ProjectTimelineData[排名]),--(J288&lt;ProjectTimelineData[NUM])),"")</f>
        <v/>
      </c>
      <c r="F288" s="3" t="str">
        <f ca="1">IFERROR(RANK(ProjectTimelineData[[#This Row],[日期]],ProjectTimelineData[日期],1),"")</f>
        <v/>
      </c>
      <c r="G288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8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88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88" s="2" t="str">
        <f ca="1">IFERROR(IF(ISBLANK(INDEX(ProjectDetails[#Data],ROW(A283)+1,1)),"",IF($J287-1&lt;=-1,"",$J287-1)),"")</f>
        <v/>
      </c>
      <c r="M288" s="3" t="str">
        <f ca="1">IFERROR(ProjectTimelineData[NUM]+1,"")</f>
        <v/>
      </c>
      <c r="N288" s="6" t="str">
        <f ca="1">IFERROR(VLOOKUP(SortedTimeline[经过排序的排名],ProjectTimelineData[],3,0),"")</f>
        <v/>
      </c>
      <c r="O288" s="2" t="str">
        <f ca="1">IFERROR(VLOOKUP(SortedTimeline[经过排序的排名],ProjectTimelineData[],4,0),"")</f>
        <v/>
      </c>
      <c r="P288" s="2" t="str">
        <f ca="1">IFERROR(VLOOKUP(SortedTimeline[经过排序的排名],ProjectTimelineData[],5,0),"")</f>
        <v/>
      </c>
    </row>
    <row r="289" spans="5:16" x14ac:dyDescent="0.3">
      <c r="E289" s="3" t="str">
        <f ca="1">IFERROR(RANK(F289,ProjectTimelineData[排名])+SUMPRODUCT(--(F289=ProjectTimelineData[排名]),--(J289&lt;ProjectTimelineData[NUM])),"")</f>
        <v/>
      </c>
      <c r="F289" s="3" t="str">
        <f ca="1">IFERROR(RANK(ProjectTimelineData[[#This Row],[日期]],ProjectTimelineData[日期],1),"")</f>
        <v/>
      </c>
      <c r="G289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8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89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89" s="2" t="str">
        <f ca="1">IFERROR(IF(ISBLANK(INDEX(ProjectDetails[#Data],ROW(A284)+1,1)),"",IF($J288-1&lt;=-1,"",$J288-1)),"")</f>
        <v/>
      </c>
      <c r="M289" s="3" t="str">
        <f ca="1">IFERROR(ProjectTimelineData[NUM]+1,"")</f>
        <v/>
      </c>
      <c r="N289" s="6" t="str">
        <f ca="1">IFERROR(VLOOKUP(SortedTimeline[经过排序的排名],ProjectTimelineData[],3,0),"")</f>
        <v/>
      </c>
      <c r="O289" s="2" t="str">
        <f ca="1">IFERROR(VLOOKUP(SortedTimeline[经过排序的排名],ProjectTimelineData[],4,0),"")</f>
        <v/>
      </c>
      <c r="P289" s="2" t="str">
        <f ca="1">IFERROR(VLOOKUP(SortedTimeline[经过排序的排名],ProjectTimelineData[],5,0),"")</f>
        <v/>
      </c>
    </row>
    <row r="290" spans="5:16" x14ac:dyDescent="0.3">
      <c r="E290" s="3" t="str">
        <f ca="1">IFERROR(RANK(F290,ProjectTimelineData[排名])+SUMPRODUCT(--(F290=ProjectTimelineData[排名]),--(J290&lt;ProjectTimelineData[NUM])),"")</f>
        <v/>
      </c>
      <c r="F290" s="3" t="str">
        <f ca="1">IFERROR(RANK(ProjectTimelineData[[#This Row],[日期]],ProjectTimelineData[日期],1),"")</f>
        <v/>
      </c>
      <c r="G290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90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90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90" s="2" t="str">
        <f ca="1">IFERROR(IF(ISBLANK(INDEX(ProjectDetails[#Data],ROW(A285)+1,1)),"",IF($J289-1&lt;=-1,"",$J289-1)),"")</f>
        <v/>
      </c>
      <c r="M290" s="3" t="str">
        <f ca="1">IFERROR(ProjectTimelineData[NUM]+1,"")</f>
        <v/>
      </c>
      <c r="N290" s="6" t="str">
        <f ca="1">IFERROR(VLOOKUP(SortedTimeline[经过排序的排名],ProjectTimelineData[],3,0),"")</f>
        <v/>
      </c>
      <c r="O290" s="2" t="str">
        <f ca="1">IFERROR(VLOOKUP(SortedTimeline[经过排序的排名],ProjectTimelineData[],4,0),"")</f>
        <v/>
      </c>
      <c r="P290" s="2" t="str">
        <f ca="1">IFERROR(VLOOKUP(SortedTimeline[经过排序的排名],ProjectTimelineData[],5,0),"")</f>
        <v/>
      </c>
    </row>
    <row r="291" spans="5:16" x14ac:dyDescent="0.3">
      <c r="E291" s="3" t="str">
        <f ca="1">IFERROR(RANK(F291,ProjectTimelineData[排名])+SUMPRODUCT(--(F291=ProjectTimelineData[排名]),--(J291&lt;ProjectTimelineData[NUM])),"")</f>
        <v/>
      </c>
      <c r="F291" s="3" t="str">
        <f ca="1">IFERROR(RANK(ProjectTimelineData[[#This Row],[日期]],ProjectTimelineData[日期],1),"")</f>
        <v/>
      </c>
      <c r="G291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91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91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91" s="2" t="str">
        <f ca="1">IFERROR(IF(ISBLANK(INDEX(ProjectDetails[#Data],ROW(A286)+1,1)),"",IF($J290-1&lt;=-1,"",$J290-1)),"")</f>
        <v/>
      </c>
      <c r="M291" s="3" t="str">
        <f ca="1">IFERROR(ProjectTimelineData[NUM]+1,"")</f>
        <v/>
      </c>
      <c r="N291" s="6" t="str">
        <f ca="1">IFERROR(VLOOKUP(SortedTimeline[经过排序的排名],ProjectTimelineData[],3,0),"")</f>
        <v/>
      </c>
      <c r="O291" s="2" t="str">
        <f ca="1">IFERROR(VLOOKUP(SortedTimeline[经过排序的排名],ProjectTimelineData[],4,0),"")</f>
        <v/>
      </c>
      <c r="P291" s="2" t="str">
        <f ca="1">IFERROR(VLOOKUP(SortedTimeline[经过排序的排名],ProjectTimelineData[],5,0),"")</f>
        <v/>
      </c>
    </row>
    <row r="292" spans="5:16" x14ac:dyDescent="0.3">
      <c r="E292" s="3" t="str">
        <f ca="1">IFERROR(RANK(F292,ProjectTimelineData[排名])+SUMPRODUCT(--(F292=ProjectTimelineData[排名]),--(J292&lt;ProjectTimelineData[NUM])),"")</f>
        <v/>
      </c>
      <c r="F292" s="3" t="str">
        <f ca="1">IFERROR(RANK(ProjectTimelineData[[#This Row],[日期]],ProjectTimelineData[日期],1),"")</f>
        <v/>
      </c>
      <c r="G292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92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92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92" s="2" t="str">
        <f ca="1">IFERROR(IF(ISBLANK(INDEX(ProjectDetails[#Data],ROW(A287)+1,1)),"",IF($J291-1&lt;=-1,"",$J291-1)),"")</f>
        <v/>
      </c>
      <c r="M292" s="3" t="str">
        <f ca="1">IFERROR(ProjectTimelineData[NUM]+1,"")</f>
        <v/>
      </c>
      <c r="N292" s="6" t="str">
        <f ca="1">IFERROR(VLOOKUP(SortedTimeline[经过排序的排名],ProjectTimelineData[],3,0),"")</f>
        <v/>
      </c>
      <c r="O292" s="2" t="str">
        <f ca="1">IFERROR(VLOOKUP(SortedTimeline[经过排序的排名],ProjectTimelineData[],4,0),"")</f>
        <v/>
      </c>
      <c r="P292" s="2" t="str">
        <f ca="1">IFERROR(VLOOKUP(SortedTimeline[经过排序的排名],ProjectTimelineData[],5,0),"")</f>
        <v/>
      </c>
    </row>
    <row r="293" spans="5:16" x14ac:dyDescent="0.3">
      <c r="E293" s="3" t="str">
        <f ca="1">IFERROR(RANK(F293,ProjectTimelineData[排名])+SUMPRODUCT(--(F293=ProjectTimelineData[排名]),--(J293&lt;ProjectTimelineData[NUM])),"")</f>
        <v/>
      </c>
      <c r="F293" s="3" t="str">
        <f ca="1">IFERROR(RANK(ProjectTimelineData[[#This Row],[日期]],ProjectTimelineData[日期],1),"")</f>
        <v/>
      </c>
      <c r="G293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93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93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93" s="2" t="str">
        <f ca="1">IFERROR(IF(ISBLANK(INDEX(ProjectDetails[#Data],ROW(A288)+1,1)),"",IF($J292-1&lt;=-1,"",$J292-1)),"")</f>
        <v/>
      </c>
      <c r="M293" s="3" t="str">
        <f ca="1">IFERROR(ProjectTimelineData[NUM]+1,"")</f>
        <v/>
      </c>
      <c r="N293" s="6" t="str">
        <f ca="1">IFERROR(VLOOKUP(SortedTimeline[经过排序的排名],ProjectTimelineData[],3,0),"")</f>
        <v/>
      </c>
      <c r="O293" s="2" t="str">
        <f ca="1">IFERROR(VLOOKUP(SortedTimeline[经过排序的排名],ProjectTimelineData[],4,0),"")</f>
        <v/>
      </c>
      <c r="P293" s="2" t="str">
        <f ca="1">IFERROR(VLOOKUP(SortedTimeline[经过排序的排名],ProjectTimelineData[],5,0),"")</f>
        <v/>
      </c>
    </row>
    <row r="294" spans="5:16" x14ac:dyDescent="0.3">
      <c r="E294" s="3" t="str">
        <f ca="1">IFERROR(RANK(F294,ProjectTimelineData[排名])+SUMPRODUCT(--(F294=ProjectTimelineData[排名]),--(J294&lt;ProjectTimelineData[NUM])),"")</f>
        <v/>
      </c>
      <c r="F294" s="3" t="str">
        <f ca="1">IFERROR(RANK(ProjectTimelineData[[#This Row],[日期]],ProjectTimelineData[日期],1),"")</f>
        <v/>
      </c>
      <c r="G294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94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94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94" s="2" t="str">
        <f ca="1">IFERROR(IF(ISBLANK(INDEX(ProjectDetails[#Data],ROW(A289)+1,1)),"",IF($J293-1&lt;=-1,"",$J293-1)),"")</f>
        <v/>
      </c>
      <c r="M294" s="3" t="str">
        <f ca="1">IFERROR(ProjectTimelineData[NUM]+1,"")</f>
        <v/>
      </c>
      <c r="N294" s="6" t="str">
        <f ca="1">IFERROR(VLOOKUP(SortedTimeline[经过排序的排名],ProjectTimelineData[],3,0),"")</f>
        <v/>
      </c>
      <c r="O294" s="2" t="str">
        <f ca="1">IFERROR(VLOOKUP(SortedTimeline[经过排序的排名],ProjectTimelineData[],4,0),"")</f>
        <v/>
      </c>
      <c r="P294" s="2" t="str">
        <f ca="1">IFERROR(VLOOKUP(SortedTimeline[经过排序的排名],ProjectTimelineData[],5,0),"")</f>
        <v/>
      </c>
    </row>
    <row r="295" spans="5:16" x14ac:dyDescent="0.3">
      <c r="E295" s="3" t="str">
        <f ca="1">IFERROR(RANK(F295,ProjectTimelineData[排名])+SUMPRODUCT(--(F295=ProjectTimelineData[排名]),--(J295&lt;ProjectTimelineData[NUM])),"")</f>
        <v/>
      </c>
      <c r="F295" s="3" t="str">
        <f ca="1">IFERROR(RANK(ProjectTimelineData[[#This Row],[日期]],ProjectTimelineData[日期],1),"")</f>
        <v/>
      </c>
      <c r="G295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95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95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95" s="2" t="str">
        <f ca="1">IFERROR(IF(ISBLANK(INDEX(ProjectDetails[#Data],ROW(A290)+1,1)),"",IF($J294-1&lt;=-1,"",$J294-1)),"")</f>
        <v/>
      </c>
      <c r="M295" s="3" t="str">
        <f ca="1">IFERROR(ProjectTimelineData[NUM]+1,"")</f>
        <v/>
      </c>
      <c r="N295" s="6" t="str">
        <f ca="1">IFERROR(VLOOKUP(SortedTimeline[经过排序的排名],ProjectTimelineData[],3,0),"")</f>
        <v/>
      </c>
      <c r="O295" s="2" t="str">
        <f ca="1">IFERROR(VLOOKUP(SortedTimeline[经过排序的排名],ProjectTimelineData[],4,0),"")</f>
        <v/>
      </c>
      <c r="P295" s="2" t="str">
        <f ca="1">IFERROR(VLOOKUP(SortedTimeline[经过排序的排名],ProjectTimelineData[],5,0),"")</f>
        <v/>
      </c>
    </row>
    <row r="296" spans="5:16" x14ac:dyDescent="0.3">
      <c r="E296" s="3" t="str">
        <f ca="1">IFERROR(RANK(F296,ProjectTimelineData[排名])+SUMPRODUCT(--(F296=ProjectTimelineData[排名]),--(J296&lt;ProjectTimelineData[NUM])),"")</f>
        <v/>
      </c>
      <c r="F296" s="3" t="str">
        <f ca="1">IFERROR(RANK(ProjectTimelineData[[#This Row],[日期]],ProjectTimelineData[日期],1),"")</f>
        <v/>
      </c>
      <c r="G296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9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96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96" s="2" t="str">
        <f ca="1">IFERROR(IF(ISBLANK(INDEX(ProjectDetails[#Data],ROW(A291)+1,1)),"",IF($J295-1&lt;=-1,"",$J295-1)),"")</f>
        <v/>
      </c>
      <c r="M296" s="3" t="str">
        <f ca="1">IFERROR(ProjectTimelineData[NUM]+1,"")</f>
        <v/>
      </c>
      <c r="N296" s="6" t="str">
        <f ca="1">IFERROR(VLOOKUP(SortedTimeline[经过排序的排名],ProjectTimelineData[],3,0),"")</f>
        <v/>
      </c>
      <c r="O296" s="2" t="str">
        <f ca="1">IFERROR(VLOOKUP(SortedTimeline[经过排序的排名],ProjectTimelineData[],4,0),"")</f>
        <v/>
      </c>
      <c r="P296" s="2" t="str">
        <f ca="1">IFERROR(VLOOKUP(SortedTimeline[经过排序的排名],ProjectTimelineData[],5,0),"")</f>
        <v/>
      </c>
    </row>
    <row r="297" spans="5:16" x14ac:dyDescent="0.3">
      <c r="E297" s="3" t="str">
        <f ca="1">IFERROR(RANK(F297,ProjectTimelineData[排名])+SUMPRODUCT(--(F297=ProjectTimelineData[排名]),--(J297&lt;ProjectTimelineData[NUM])),"")</f>
        <v/>
      </c>
      <c r="F297" s="3" t="str">
        <f ca="1">IFERROR(RANK(ProjectTimelineData[[#This Row],[日期]],ProjectTimelineData[日期],1),"")</f>
        <v/>
      </c>
      <c r="G297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9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97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97" s="2" t="str">
        <f ca="1">IFERROR(IF(ISBLANK(INDEX(ProjectDetails[#Data],ROW(A292)+1,1)),"",IF($J296-1&lt;=-1,"",$J296-1)),"")</f>
        <v/>
      </c>
      <c r="M297" s="3" t="str">
        <f ca="1">IFERROR(ProjectTimelineData[NUM]+1,"")</f>
        <v/>
      </c>
      <c r="N297" s="6" t="str">
        <f ca="1">IFERROR(VLOOKUP(SortedTimeline[经过排序的排名],ProjectTimelineData[],3,0),"")</f>
        <v/>
      </c>
      <c r="O297" s="2" t="str">
        <f ca="1">IFERROR(VLOOKUP(SortedTimeline[经过排序的排名],ProjectTimelineData[],4,0),"")</f>
        <v/>
      </c>
      <c r="P297" s="2" t="str">
        <f ca="1">IFERROR(VLOOKUP(SortedTimeline[经过排序的排名],ProjectTimelineData[],5,0),"")</f>
        <v/>
      </c>
    </row>
    <row r="298" spans="5:16" x14ac:dyDescent="0.3">
      <c r="E298" s="3" t="str">
        <f ca="1">IFERROR(RANK(F298,ProjectTimelineData[排名])+SUMPRODUCT(--(F298=ProjectTimelineData[排名]),--(J298&lt;ProjectTimelineData[NUM])),"")</f>
        <v/>
      </c>
      <c r="F298" s="3" t="str">
        <f ca="1">IFERROR(RANK(ProjectTimelineData[[#This Row],[日期]],ProjectTimelineData[日期],1),"")</f>
        <v/>
      </c>
      <c r="G298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9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98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98" s="2" t="str">
        <f ca="1">IFERROR(IF(ISBLANK(INDEX(ProjectDetails[#Data],ROW(A293)+1,1)),"",IF($J297-1&lt;=-1,"",$J297-1)),"")</f>
        <v/>
      </c>
      <c r="M298" s="3" t="str">
        <f ca="1">IFERROR(ProjectTimelineData[NUM]+1,"")</f>
        <v/>
      </c>
      <c r="N298" s="6" t="str">
        <f ca="1">IFERROR(VLOOKUP(SortedTimeline[经过排序的排名],ProjectTimelineData[],3,0),"")</f>
        <v/>
      </c>
      <c r="O298" s="2" t="str">
        <f ca="1">IFERROR(VLOOKUP(SortedTimeline[经过排序的排名],ProjectTimelineData[],4,0),"")</f>
        <v/>
      </c>
      <c r="P298" s="2" t="str">
        <f ca="1">IFERROR(VLOOKUP(SortedTimeline[经过排序的排名],ProjectTimelineData[],5,0),"")</f>
        <v/>
      </c>
    </row>
    <row r="299" spans="5:16" x14ac:dyDescent="0.3">
      <c r="E299" s="3" t="str">
        <f ca="1">IFERROR(RANK(F299,ProjectTimelineData[排名])+SUMPRODUCT(--(F299=ProjectTimelineData[排名]),--(J299&lt;ProjectTimelineData[NUM])),"")</f>
        <v/>
      </c>
      <c r="F299" s="3" t="str">
        <f ca="1">IFERROR(RANK(ProjectTimelineData[[#This Row],[日期]],ProjectTimelineData[日期],1),"")</f>
        <v/>
      </c>
      <c r="G299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29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299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299" s="2" t="str">
        <f ca="1">IFERROR(IF(ISBLANK(INDEX(ProjectDetails[#Data],ROW(A294)+1,1)),"",IF($J298-1&lt;=-1,"",$J298-1)),"")</f>
        <v/>
      </c>
      <c r="M299" s="3" t="str">
        <f ca="1">IFERROR(ProjectTimelineData[NUM]+1,"")</f>
        <v/>
      </c>
      <c r="N299" s="6" t="str">
        <f ca="1">IFERROR(VLOOKUP(SortedTimeline[经过排序的排名],ProjectTimelineData[],3,0),"")</f>
        <v/>
      </c>
      <c r="O299" s="2" t="str">
        <f ca="1">IFERROR(VLOOKUP(SortedTimeline[经过排序的排名],ProjectTimelineData[],4,0),"")</f>
        <v/>
      </c>
      <c r="P299" s="2" t="str">
        <f ca="1">IFERROR(VLOOKUP(SortedTimeline[经过排序的排名],ProjectTimelineData[],5,0),"")</f>
        <v/>
      </c>
    </row>
    <row r="300" spans="5:16" x14ac:dyDescent="0.3">
      <c r="E300" s="3" t="str">
        <f ca="1">IFERROR(RANK(F300,ProjectTimelineData[排名])+SUMPRODUCT(--(F300=ProjectTimelineData[排名]),--(J300&lt;ProjectTimelineData[NUM])),"")</f>
        <v/>
      </c>
      <c r="F300" s="3" t="str">
        <f ca="1">IFERROR(RANK(ProjectTimelineData[[#This Row],[日期]],ProjectTimelineData[日期],1),"")</f>
        <v/>
      </c>
      <c r="G300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00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00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00" s="2" t="str">
        <f ca="1">IFERROR(IF(ISBLANK(INDEX(ProjectDetails[#Data],ROW(A295)+1,1)),"",IF($J299-1&lt;=-1,"",$J299-1)),"")</f>
        <v/>
      </c>
      <c r="M300" s="3" t="str">
        <f ca="1">IFERROR(ProjectTimelineData[NUM]+1,"")</f>
        <v/>
      </c>
      <c r="N300" s="6" t="str">
        <f ca="1">IFERROR(VLOOKUP(SortedTimeline[经过排序的排名],ProjectTimelineData[],3,0),"")</f>
        <v/>
      </c>
      <c r="O300" s="2" t="str">
        <f ca="1">IFERROR(VLOOKUP(SortedTimeline[经过排序的排名],ProjectTimelineData[],4,0),"")</f>
        <v/>
      </c>
      <c r="P300" s="2" t="str">
        <f ca="1">IFERROR(VLOOKUP(SortedTimeline[经过排序的排名],ProjectTimelineData[],5,0),"")</f>
        <v/>
      </c>
    </row>
    <row r="301" spans="5:16" x14ac:dyDescent="0.3">
      <c r="E301" s="3" t="str">
        <f ca="1">IFERROR(RANK(F301,ProjectTimelineData[排名])+SUMPRODUCT(--(F301=ProjectTimelineData[排名]),--(J301&lt;ProjectTimelineData[NUM])),"")</f>
        <v/>
      </c>
      <c r="F301" s="3" t="str">
        <f ca="1">IFERROR(RANK(ProjectTimelineData[[#This Row],[日期]],ProjectTimelineData[日期],1),"")</f>
        <v/>
      </c>
      <c r="G301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01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01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01" s="2" t="str">
        <f ca="1">IFERROR(IF(ISBLANK(INDEX(ProjectDetails[#Data],ROW(A296)+1,1)),"",IF($J300-1&lt;=-1,"",$J300-1)),"")</f>
        <v/>
      </c>
      <c r="M301" s="3" t="str">
        <f ca="1">IFERROR(ProjectTimelineData[NUM]+1,"")</f>
        <v/>
      </c>
      <c r="N301" s="6" t="str">
        <f ca="1">IFERROR(VLOOKUP(SortedTimeline[经过排序的排名],ProjectTimelineData[],3,0),"")</f>
        <v/>
      </c>
      <c r="O301" s="2" t="str">
        <f ca="1">IFERROR(VLOOKUP(SortedTimeline[经过排序的排名],ProjectTimelineData[],4,0),"")</f>
        <v/>
      </c>
      <c r="P301" s="2" t="str">
        <f ca="1">IFERROR(VLOOKUP(SortedTimeline[经过排序的排名],ProjectTimelineData[],5,0),"")</f>
        <v/>
      </c>
    </row>
    <row r="302" spans="5:16" x14ac:dyDescent="0.3">
      <c r="E302" s="3" t="str">
        <f ca="1">IFERROR(RANK(F302,ProjectTimelineData[排名])+SUMPRODUCT(--(F302=ProjectTimelineData[排名]),--(J302&lt;ProjectTimelineData[NUM])),"")</f>
        <v/>
      </c>
      <c r="F302" s="3" t="str">
        <f ca="1">IFERROR(RANK(ProjectTimelineData[[#This Row],[日期]],ProjectTimelineData[日期],1),"")</f>
        <v/>
      </c>
      <c r="G302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02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02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02" s="2" t="str">
        <f ca="1">IFERROR(IF(ISBLANK(INDEX(ProjectDetails[#Data],ROW(A297)+1,1)),"",IF($J301-1&lt;=-1,"",$J301-1)),"")</f>
        <v/>
      </c>
      <c r="M302" s="3" t="str">
        <f ca="1">IFERROR(ProjectTimelineData[NUM]+1,"")</f>
        <v/>
      </c>
      <c r="N302" s="6" t="str">
        <f ca="1">IFERROR(VLOOKUP(SortedTimeline[经过排序的排名],ProjectTimelineData[],3,0),"")</f>
        <v/>
      </c>
      <c r="O302" s="2" t="str">
        <f ca="1">IFERROR(VLOOKUP(SortedTimeline[经过排序的排名],ProjectTimelineData[],4,0),"")</f>
        <v/>
      </c>
      <c r="P302" s="2" t="str">
        <f ca="1">IFERROR(VLOOKUP(SortedTimeline[经过排序的排名],ProjectTimelineData[],5,0),"")</f>
        <v/>
      </c>
    </row>
    <row r="303" spans="5:16" x14ac:dyDescent="0.3">
      <c r="E303" s="3" t="str">
        <f ca="1">IFERROR(RANK(F303,ProjectTimelineData[排名])+SUMPRODUCT(--(F303=ProjectTimelineData[排名]),--(J303&lt;ProjectTimelineData[NUM])),"")</f>
        <v/>
      </c>
      <c r="F303" s="3" t="str">
        <f ca="1">IFERROR(RANK(ProjectTimelineData[[#This Row],[日期]],ProjectTimelineData[日期],1),"")</f>
        <v/>
      </c>
      <c r="G303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03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03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03" s="2" t="str">
        <f ca="1">IFERROR(IF(ISBLANK(INDEX(ProjectDetails[#Data],ROW(A298)+1,1)),"",IF($J302-1&lt;=-1,"",$J302-1)),"")</f>
        <v/>
      </c>
      <c r="M303" s="3" t="str">
        <f ca="1">IFERROR(ProjectTimelineData[NUM]+1,"")</f>
        <v/>
      </c>
      <c r="N303" s="6" t="str">
        <f ca="1">IFERROR(VLOOKUP(SortedTimeline[经过排序的排名],ProjectTimelineData[],3,0),"")</f>
        <v/>
      </c>
      <c r="O303" s="2" t="str">
        <f ca="1">IFERROR(VLOOKUP(SortedTimeline[经过排序的排名],ProjectTimelineData[],4,0),"")</f>
        <v/>
      </c>
      <c r="P303" s="2" t="str">
        <f ca="1">IFERROR(VLOOKUP(SortedTimeline[经过排序的排名],ProjectTimelineData[],5,0),"")</f>
        <v/>
      </c>
    </row>
    <row r="304" spans="5:16" x14ac:dyDescent="0.3">
      <c r="E304" s="3" t="str">
        <f ca="1">IFERROR(RANK(F304,ProjectTimelineData[排名])+SUMPRODUCT(--(F304=ProjectTimelineData[排名]),--(J304&lt;ProjectTimelineData[NUM])),"")</f>
        <v/>
      </c>
      <c r="F304" s="3" t="str">
        <f ca="1">IFERROR(RANK(ProjectTimelineData[[#This Row],[日期]],ProjectTimelineData[日期],1),"")</f>
        <v/>
      </c>
      <c r="G304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04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04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04" s="2" t="str">
        <f ca="1">IFERROR(IF(ISBLANK(INDEX(ProjectDetails[#Data],ROW(A299)+1,1)),"",IF($J303-1&lt;=-1,"",$J303-1)),"")</f>
        <v/>
      </c>
      <c r="M304" s="3" t="str">
        <f ca="1">IFERROR(ProjectTimelineData[NUM]+1,"")</f>
        <v/>
      </c>
      <c r="N304" s="6" t="str">
        <f ca="1">IFERROR(VLOOKUP(SortedTimeline[经过排序的排名],ProjectTimelineData[],3,0),"")</f>
        <v/>
      </c>
      <c r="O304" s="2" t="str">
        <f ca="1">IFERROR(VLOOKUP(SortedTimeline[经过排序的排名],ProjectTimelineData[],4,0),"")</f>
        <v/>
      </c>
      <c r="P304" s="2" t="str">
        <f ca="1">IFERROR(VLOOKUP(SortedTimeline[经过排序的排名],ProjectTimelineData[],5,0),"")</f>
        <v/>
      </c>
    </row>
    <row r="305" spans="5:16" x14ac:dyDescent="0.3">
      <c r="E305" s="3" t="str">
        <f ca="1">IFERROR(RANK(F305,ProjectTimelineData[排名])+SUMPRODUCT(--(F305=ProjectTimelineData[排名]),--(J305&lt;ProjectTimelineData[NUM])),"")</f>
        <v/>
      </c>
      <c r="F305" s="3" t="str">
        <f ca="1">IFERROR(RANK(ProjectTimelineData[[#This Row],[日期]],ProjectTimelineData[日期],1),"")</f>
        <v/>
      </c>
      <c r="G305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05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05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05" s="2" t="str">
        <f ca="1">IFERROR(IF(ISBLANK(INDEX(ProjectDetails[#Data],ROW(A300)+1,1)),"",IF($J304-1&lt;=-1,"",$J304-1)),"")</f>
        <v/>
      </c>
      <c r="M305" s="3" t="str">
        <f ca="1">IFERROR(ProjectTimelineData[NUM]+1,"")</f>
        <v/>
      </c>
      <c r="N305" s="6" t="str">
        <f ca="1">IFERROR(VLOOKUP(SortedTimeline[经过排序的排名],ProjectTimelineData[],3,0),"")</f>
        <v/>
      </c>
      <c r="O305" s="2" t="str">
        <f ca="1">IFERROR(VLOOKUP(SortedTimeline[经过排序的排名],ProjectTimelineData[],4,0),"")</f>
        <v/>
      </c>
      <c r="P305" s="2" t="str">
        <f ca="1">IFERROR(VLOOKUP(SortedTimeline[经过排序的排名],ProjectTimelineData[],5,0),"")</f>
        <v/>
      </c>
    </row>
    <row r="306" spans="5:16" x14ac:dyDescent="0.3">
      <c r="E306" s="3" t="str">
        <f ca="1">IFERROR(RANK(F306,ProjectTimelineData[排名])+SUMPRODUCT(--(F306=ProjectTimelineData[排名]),--(J306&lt;ProjectTimelineData[NUM])),"")</f>
        <v/>
      </c>
      <c r="F306" s="3" t="str">
        <f ca="1">IFERROR(RANK(ProjectTimelineData[[#This Row],[日期]],ProjectTimelineData[日期],1),"")</f>
        <v/>
      </c>
      <c r="G306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0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06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06" s="2" t="str">
        <f ca="1">IFERROR(IF(ISBLANK(INDEX(ProjectDetails[#Data],ROW(A301)+1,1)),"",IF($J305-1&lt;=-1,"",$J305-1)),"")</f>
        <v/>
      </c>
      <c r="M306" s="3" t="str">
        <f ca="1">IFERROR(ProjectTimelineData[NUM]+1,"")</f>
        <v/>
      </c>
      <c r="N306" s="6" t="str">
        <f ca="1">IFERROR(VLOOKUP(SortedTimeline[经过排序的排名],ProjectTimelineData[],3,0),"")</f>
        <v/>
      </c>
      <c r="O306" s="2" t="str">
        <f ca="1">IFERROR(VLOOKUP(SortedTimeline[经过排序的排名],ProjectTimelineData[],4,0),"")</f>
        <v/>
      </c>
      <c r="P306" s="2" t="str">
        <f ca="1">IFERROR(VLOOKUP(SortedTimeline[经过排序的排名],ProjectTimelineData[],5,0),"")</f>
        <v/>
      </c>
    </row>
    <row r="307" spans="5:16" x14ac:dyDescent="0.3">
      <c r="E307" s="3" t="str">
        <f ca="1">IFERROR(RANK(F307,ProjectTimelineData[排名])+SUMPRODUCT(--(F307=ProjectTimelineData[排名]),--(J307&lt;ProjectTimelineData[NUM])),"")</f>
        <v/>
      </c>
      <c r="F307" s="3" t="str">
        <f ca="1">IFERROR(RANK(ProjectTimelineData[[#This Row],[日期]],ProjectTimelineData[日期],1),"")</f>
        <v/>
      </c>
      <c r="G307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0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07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07" s="2" t="str">
        <f ca="1">IFERROR(IF(ISBLANK(INDEX(ProjectDetails[#Data],ROW(A302)+1,1)),"",IF($J306-1&lt;=-1,"",$J306-1)),"")</f>
        <v/>
      </c>
      <c r="M307" s="3" t="str">
        <f ca="1">IFERROR(ProjectTimelineData[NUM]+1,"")</f>
        <v/>
      </c>
      <c r="N307" s="6" t="str">
        <f ca="1">IFERROR(VLOOKUP(SortedTimeline[经过排序的排名],ProjectTimelineData[],3,0),"")</f>
        <v/>
      </c>
      <c r="O307" s="2" t="str">
        <f ca="1">IFERROR(VLOOKUP(SortedTimeline[经过排序的排名],ProjectTimelineData[],4,0),"")</f>
        <v/>
      </c>
      <c r="P307" s="2" t="str">
        <f ca="1">IFERROR(VLOOKUP(SortedTimeline[经过排序的排名],ProjectTimelineData[],5,0),"")</f>
        <v/>
      </c>
    </row>
    <row r="308" spans="5:16" x14ac:dyDescent="0.3">
      <c r="E308" s="3" t="str">
        <f ca="1">IFERROR(RANK(F308,ProjectTimelineData[排名])+SUMPRODUCT(--(F308=ProjectTimelineData[排名]),--(J308&lt;ProjectTimelineData[NUM])),"")</f>
        <v/>
      </c>
      <c r="F308" s="3" t="str">
        <f ca="1">IFERROR(RANK(ProjectTimelineData[[#This Row],[日期]],ProjectTimelineData[日期],1),"")</f>
        <v/>
      </c>
      <c r="G308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0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08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08" s="2" t="str">
        <f ca="1">IFERROR(IF(ISBLANK(INDEX(ProjectDetails[#Data],ROW(A303)+1,1)),"",IF($J307-1&lt;=-1,"",$J307-1)),"")</f>
        <v/>
      </c>
      <c r="M308" s="3" t="str">
        <f ca="1">IFERROR(ProjectTimelineData[NUM]+1,"")</f>
        <v/>
      </c>
      <c r="N308" s="6" t="str">
        <f ca="1">IFERROR(VLOOKUP(SortedTimeline[经过排序的排名],ProjectTimelineData[],3,0),"")</f>
        <v/>
      </c>
      <c r="O308" s="2" t="str">
        <f ca="1">IFERROR(VLOOKUP(SortedTimeline[经过排序的排名],ProjectTimelineData[],4,0),"")</f>
        <v/>
      </c>
      <c r="P308" s="2" t="str">
        <f ca="1">IFERROR(VLOOKUP(SortedTimeline[经过排序的排名],ProjectTimelineData[],5,0),"")</f>
        <v/>
      </c>
    </row>
    <row r="309" spans="5:16" x14ac:dyDescent="0.3">
      <c r="E309" s="3" t="str">
        <f ca="1">IFERROR(RANK(F309,ProjectTimelineData[排名])+SUMPRODUCT(--(F309=ProjectTimelineData[排名]),--(J309&lt;ProjectTimelineData[NUM])),"")</f>
        <v/>
      </c>
      <c r="F309" s="3" t="str">
        <f ca="1">IFERROR(RANK(ProjectTimelineData[[#This Row],[日期]],ProjectTimelineData[日期],1),"")</f>
        <v/>
      </c>
      <c r="G309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0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09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09" s="2" t="str">
        <f ca="1">IFERROR(IF(ISBLANK(INDEX(ProjectDetails[#Data],ROW(A304)+1,1)),"",IF($J308-1&lt;=-1,"",$J308-1)),"")</f>
        <v/>
      </c>
      <c r="M309" s="3" t="str">
        <f ca="1">IFERROR(ProjectTimelineData[NUM]+1,"")</f>
        <v/>
      </c>
      <c r="N309" s="6" t="str">
        <f ca="1">IFERROR(VLOOKUP(SortedTimeline[经过排序的排名],ProjectTimelineData[],3,0),"")</f>
        <v/>
      </c>
      <c r="O309" s="2" t="str">
        <f ca="1">IFERROR(VLOOKUP(SortedTimeline[经过排序的排名],ProjectTimelineData[],4,0),"")</f>
        <v/>
      </c>
      <c r="P309" s="2" t="str">
        <f ca="1">IFERROR(VLOOKUP(SortedTimeline[经过排序的排名],ProjectTimelineData[],5,0),"")</f>
        <v/>
      </c>
    </row>
    <row r="310" spans="5:16" x14ac:dyDescent="0.3">
      <c r="E310" s="3" t="str">
        <f ca="1">IFERROR(RANK(F310,ProjectTimelineData[排名])+SUMPRODUCT(--(F310=ProjectTimelineData[排名]),--(J310&lt;ProjectTimelineData[NUM])),"")</f>
        <v/>
      </c>
      <c r="F310" s="3" t="str">
        <f ca="1">IFERROR(RANK(ProjectTimelineData[[#This Row],[日期]],ProjectTimelineData[日期],1),"")</f>
        <v/>
      </c>
      <c r="G310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10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10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10" s="2" t="str">
        <f ca="1">IFERROR(IF(ISBLANK(INDEX(ProjectDetails[#Data],ROW(A305)+1,1)),"",IF($J309-1&lt;=-1,"",$J309-1)),"")</f>
        <v/>
      </c>
      <c r="M310" s="3" t="str">
        <f ca="1">IFERROR(ProjectTimelineData[NUM]+1,"")</f>
        <v/>
      </c>
      <c r="N310" s="6" t="str">
        <f ca="1">IFERROR(VLOOKUP(SortedTimeline[经过排序的排名],ProjectTimelineData[],3,0),"")</f>
        <v/>
      </c>
      <c r="O310" s="2" t="str">
        <f ca="1">IFERROR(VLOOKUP(SortedTimeline[经过排序的排名],ProjectTimelineData[],4,0),"")</f>
        <v/>
      </c>
      <c r="P310" s="2" t="str">
        <f ca="1">IFERROR(VLOOKUP(SortedTimeline[经过排序的排名],ProjectTimelineData[],5,0),"")</f>
        <v/>
      </c>
    </row>
    <row r="311" spans="5:16" x14ac:dyDescent="0.3">
      <c r="E311" s="3" t="str">
        <f ca="1">IFERROR(RANK(F311,ProjectTimelineData[排名])+SUMPRODUCT(--(F311=ProjectTimelineData[排名]),--(J311&lt;ProjectTimelineData[NUM])),"")</f>
        <v/>
      </c>
      <c r="F311" s="3" t="str">
        <f ca="1">IFERROR(RANK(ProjectTimelineData[[#This Row],[日期]],ProjectTimelineData[日期],1),"")</f>
        <v/>
      </c>
      <c r="G311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11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11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11" s="2" t="str">
        <f ca="1">IFERROR(IF(ISBLANK(INDEX(ProjectDetails[#Data],ROW(A306)+1,1)),"",IF($J310-1&lt;=-1,"",$J310-1)),"")</f>
        <v/>
      </c>
      <c r="M311" s="3" t="str">
        <f ca="1">IFERROR(ProjectTimelineData[NUM]+1,"")</f>
        <v/>
      </c>
      <c r="N311" s="6" t="str">
        <f ca="1">IFERROR(VLOOKUP(SortedTimeline[经过排序的排名],ProjectTimelineData[],3,0),"")</f>
        <v/>
      </c>
      <c r="O311" s="2" t="str">
        <f ca="1">IFERROR(VLOOKUP(SortedTimeline[经过排序的排名],ProjectTimelineData[],4,0),"")</f>
        <v/>
      </c>
      <c r="P311" s="2" t="str">
        <f ca="1">IFERROR(VLOOKUP(SortedTimeline[经过排序的排名],ProjectTimelineData[],5,0),"")</f>
        <v/>
      </c>
    </row>
    <row r="312" spans="5:16" x14ac:dyDescent="0.3">
      <c r="E312" s="3" t="str">
        <f ca="1">IFERROR(RANK(F312,ProjectTimelineData[排名])+SUMPRODUCT(--(F312=ProjectTimelineData[排名]),--(J312&lt;ProjectTimelineData[NUM])),"")</f>
        <v/>
      </c>
      <c r="F312" s="3" t="str">
        <f ca="1">IFERROR(RANK(ProjectTimelineData[[#This Row],[日期]],ProjectTimelineData[日期],1),"")</f>
        <v/>
      </c>
      <c r="G312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12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12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12" s="2" t="str">
        <f ca="1">IFERROR(IF(ISBLANK(INDEX(ProjectDetails[#Data],ROW(A307)+1,1)),"",IF($J311-1&lt;=-1,"",$J311-1)),"")</f>
        <v/>
      </c>
      <c r="M312" s="3" t="str">
        <f ca="1">IFERROR(ProjectTimelineData[NUM]+1,"")</f>
        <v/>
      </c>
      <c r="N312" s="6" t="str">
        <f ca="1">IFERROR(VLOOKUP(SortedTimeline[经过排序的排名],ProjectTimelineData[],3,0),"")</f>
        <v/>
      </c>
      <c r="O312" s="2" t="str">
        <f ca="1">IFERROR(VLOOKUP(SortedTimeline[经过排序的排名],ProjectTimelineData[],4,0),"")</f>
        <v/>
      </c>
      <c r="P312" s="2" t="str">
        <f ca="1">IFERROR(VLOOKUP(SortedTimeline[经过排序的排名],ProjectTimelineData[],5,0),"")</f>
        <v/>
      </c>
    </row>
    <row r="313" spans="5:16" x14ac:dyDescent="0.3">
      <c r="E313" s="3" t="str">
        <f ca="1">IFERROR(RANK(F313,ProjectTimelineData[排名])+SUMPRODUCT(--(F313=ProjectTimelineData[排名]),--(J313&lt;ProjectTimelineData[NUM])),"")</f>
        <v/>
      </c>
      <c r="F313" s="3" t="str">
        <f ca="1">IFERROR(RANK(ProjectTimelineData[[#This Row],[日期]],ProjectTimelineData[日期],1),"")</f>
        <v/>
      </c>
      <c r="G313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13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13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13" s="2" t="str">
        <f ca="1">IFERROR(IF(ISBLANK(INDEX(ProjectDetails[#Data],ROW(A308)+1,1)),"",IF($J312-1&lt;=-1,"",$J312-1)),"")</f>
        <v/>
      </c>
      <c r="M313" s="3" t="str">
        <f ca="1">IFERROR(ProjectTimelineData[NUM]+1,"")</f>
        <v/>
      </c>
      <c r="N313" s="6" t="str">
        <f ca="1">IFERROR(VLOOKUP(SortedTimeline[经过排序的排名],ProjectTimelineData[],3,0),"")</f>
        <v/>
      </c>
      <c r="O313" s="2" t="str">
        <f ca="1">IFERROR(VLOOKUP(SortedTimeline[经过排序的排名],ProjectTimelineData[],4,0),"")</f>
        <v/>
      </c>
      <c r="P313" s="2" t="str">
        <f ca="1">IFERROR(VLOOKUP(SortedTimeline[经过排序的排名],ProjectTimelineData[],5,0),"")</f>
        <v/>
      </c>
    </row>
    <row r="314" spans="5:16" x14ac:dyDescent="0.3">
      <c r="E314" s="3" t="str">
        <f ca="1">IFERROR(RANK(F314,ProjectTimelineData[排名])+SUMPRODUCT(--(F314=ProjectTimelineData[排名]),--(J314&lt;ProjectTimelineData[NUM])),"")</f>
        <v/>
      </c>
      <c r="F314" s="3" t="str">
        <f ca="1">IFERROR(RANK(ProjectTimelineData[[#This Row],[日期]],ProjectTimelineData[日期],1),"")</f>
        <v/>
      </c>
      <c r="G314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14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14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14" s="2" t="str">
        <f ca="1">IFERROR(IF(ISBLANK(INDEX(ProjectDetails[#Data],ROW(A309)+1,1)),"",IF($J313-1&lt;=-1,"",$J313-1)),"")</f>
        <v/>
      </c>
      <c r="M314" s="3" t="str">
        <f ca="1">IFERROR(ProjectTimelineData[NUM]+1,"")</f>
        <v/>
      </c>
      <c r="N314" s="6" t="str">
        <f ca="1">IFERROR(VLOOKUP(SortedTimeline[经过排序的排名],ProjectTimelineData[],3,0),"")</f>
        <v/>
      </c>
      <c r="O314" s="2" t="str">
        <f ca="1">IFERROR(VLOOKUP(SortedTimeline[经过排序的排名],ProjectTimelineData[],4,0),"")</f>
        <v/>
      </c>
      <c r="P314" s="2" t="str">
        <f ca="1">IFERROR(VLOOKUP(SortedTimeline[经过排序的排名],ProjectTimelineData[],5,0),"")</f>
        <v/>
      </c>
    </row>
    <row r="315" spans="5:16" x14ac:dyDescent="0.3">
      <c r="E315" s="3" t="str">
        <f ca="1">IFERROR(RANK(F315,ProjectTimelineData[排名])+SUMPRODUCT(--(F315=ProjectTimelineData[排名]),--(J315&lt;ProjectTimelineData[NUM])),"")</f>
        <v/>
      </c>
      <c r="F315" s="3" t="str">
        <f ca="1">IFERROR(RANK(ProjectTimelineData[[#This Row],[日期]],ProjectTimelineData[日期],1),"")</f>
        <v/>
      </c>
      <c r="G315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15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15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15" s="2" t="str">
        <f ca="1">IFERROR(IF(ISBLANK(INDEX(ProjectDetails[#Data],ROW(A310)+1,1)),"",IF($J314-1&lt;=-1,"",$J314-1)),"")</f>
        <v/>
      </c>
      <c r="M315" s="3" t="str">
        <f ca="1">IFERROR(ProjectTimelineData[NUM]+1,"")</f>
        <v/>
      </c>
      <c r="N315" s="6" t="str">
        <f ca="1">IFERROR(VLOOKUP(SortedTimeline[经过排序的排名],ProjectTimelineData[],3,0),"")</f>
        <v/>
      </c>
      <c r="O315" s="2" t="str">
        <f ca="1">IFERROR(VLOOKUP(SortedTimeline[经过排序的排名],ProjectTimelineData[],4,0),"")</f>
        <v/>
      </c>
      <c r="P315" s="2" t="str">
        <f ca="1">IFERROR(VLOOKUP(SortedTimeline[经过排序的排名],ProjectTimelineData[],5,0),"")</f>
        <v/>
      </c>
    </row>
    <row r="316" spans="5:16" x14ac:dyDescent="0.3">
      <c r="E316" s="3" t="str">
        <f ca="1">IFERROR(RANK(F316,ProjectTimelineData[排名])+SUMPRODUCT(--(F316=ProjectTimelineData[排名]),--(J316&lt;ProjectTimelineData[NUM])),"")</f>
        <v/>
      </c>
      <c r="F316" s="3" t="str">
        <f ca="1">IFERROR(RANK(ProjectTimelineData[[#This Row],[日期]],ProjectTimelineData[日期],1),"")</f>
        <v/>
      </c>
      <c r="G316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1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16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16" s="2" t="str">
        <f ca="1">IFERROR(IF(ISBLANK(INDEX(ProjectDetails[#Data],ROW(A311)+1,1)),"",IF($J315-1&lt;=-1,"",$J315-1)),"")</f>
        <v/>
      </c>
      <c r="M316" s="3" t="str">
        <f ca="1">IFERROR(ProjectTimelineData[NUM]+1,"")</f>
        <v/>
      </c>
      <c r="N316" s="6" t="str">
        <f ca="1">IFERROR(VLOOKUP(SortedTimeline[经过排序的排名],ProjectTimelineData[],3,0),"")</f>
        <v/>
      </c>
      <c r="O316" s="2" t="str">
        <f ca="1">IFERROR(VLOOKUP(SortedTimeline[经过排序的排名],ProjectTimelineData[],4,0),"")</f>
        <v/>
      </c>
      <c r="P316" s="2" t="str">
        <f ca="1">IFERROR(VLOOKUP(SortedTimeline[经过排序的排名],ProjectTimelineData[],5,0),"")</f>
        <v/>
      </c>
    </row>
    <row r="317" spans="5:16" x14ac:dyDescent="0.3">
      <c r="E317" s="3" t="str">
        <f ca="1">IFERROR(RANK(F317,ProjectTimelineData[排名])+SUMPRODUCT(--(F317=ProjectTimelineData[排名]),--(J317&lt;ProjectTimelineData[NUM])),"")</f>
        <v/>
      </c>
      <c r="F317" s="3" t="str">
        <f ca="1">IFERROR(RANK(ProjectTimelineData[[#This Row],[日期]],ProjectTimelineData[日期],1),"")</f>
        <v/>
      </c>
      <c r="G317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1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17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17" s="2" t="str">
        <f ca="1">IFERROR(IF(ISBLANK(INDEX(ProjectDetails[#Data],ROW(A312)+1,1)),"",IF($J316-1&lt;=-1,"",$J316-1)),"")</f>
        <v/>
      </c>
      <c r="M317" s="3" t="str">
        <f ca="1">IFERROR(ProjectTimelineData[NUM]+1,"")</f>
        <v/>
      </c>
      <c r="N317" s="6" t="str">
        <f ca="1">IFERROR(VLOOKUP(SortedTimeline[经过排序的排名],ProjectTimelineData[],3,0),"")</f>
        <v/>
      </c>
      <c r="O317" s="2" t="str">
        <f ca="1">IFERROR(VLOOKUP(SortedTimeline[经过排序的排名],ProjectTimelineData[],4,0),"")</f>
        <v/>
      </c>
      <c r="P317" s="2" t="str">
        <f ca="1">IFERROR(VLOOKUP(SortedTimeline[经过排序的排名],ProjectTimelineData[],5,0),"")</f>
        <v/>
      </c>
    </row>
    <row r="318" spans="5:16" x14ac:dyDescent="0.3">
      <c r="E318" s="3" t="str">
        <f ca="1">IFERROR(RANK(F318,ProjectTimelineData[排名])+SUMPRODUCT(--(F318=ProjectTimelineData[排名]),--(J318&lt;ProjectTimelineData[NUM])),"")</f>
        <v/>
      </c>
      <c r="F318" s="3" t="str">
        <f ca="1">IFERROR(RANK(ProjectTimelineData[[#This Row],[日期]],ProjectTimelineData[日期],1),"")</f>
        <v/>
      </c>
      <c r="G318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1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18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18" s="2" t="str">
        <f ca="1">IFERROR(IF(ISBLANK(INDEX(ProjectDetails[#Data],ROW(A313)+1,1)),"",IF($J317-1&lt;=-1,"",$J317-1)),"")</f>
        <v/>
      </c>
      <c r="M318" s="3" t="str">
        <f ca="1">IFERROR(ProjectTimelineData[NUM]+1,"")</f>
        <v/>
      </c>
      <c r="N318" s="6" t="str">
        <f ca="1">IFERROR(VLOOKUP(SortedTimeline[经过排序的排名],ProjectTimelineData[],3,0),"")</f>
        <v/>
      </c>
      <c r="O318" s="2" t="str">
        <f ca="1">IFERROR(VLOOKUP(SortedTimeline[经过排序的排名],ProjectTimelineData[],4,0),"")</f>
        <v/>
      </c>
      <c r="P318" s="2" t="str">
        <f ca="1">IFERROR(VLOOKUP(SortedTimeline[经过排序的排名],ProjectTimelineData[],5,0),"")</f>
        <v/>
      </c>
    </row>
    <row r="319" spans="5:16" x14ac:dyDescent="0.3">
      <c r="E319" s="3" t="str">
        <f ca="1">IFERROR(RANK(F319,ProjectTimelineData[排名])+SUMPRODUCT(--(F319=ProjectTimelineData[排名]),--(J319&lt;ProjectTimelineData[NUM])),"")</f>
        <v/>
      </c>
      <c r="F319" s="3" t="str">
        <f ca="1">IFERROR(RANK(ProjectTimelineData[[#This Row],[日期]],ProjectTimelineData[日期],1),"")</f>
        <v/>
      </c>
      <c r="G319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1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19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19" s="2" t="str">
        <f ca="1">IFERROR(IF(ISBLANK(INDEX(ProjectDetails[#Data],ROW(A314)+1,1)),"",IF($J318-1&lt;=-1,"",$J318-1)),"")</f>
        <v/>
      </c>
      <c r="M319" s="3" t="str">
        <f ca="1">IFERROR(ProjectTimelineData[NUM]+1,"")</f>
        <v/>
      </c>
      <c r="N319" s="6" t="str">
        <f ca="1">IFERROR(VLOOKUP(SortedTimeline[经过排序的排名],ProjectTimelineData[],3,0),"")</f>
        <v/>
      </c>
      <c r="O319" s="2" t="str">
        <f ca="1">IFERROR(VLOOKUP(SortedTimeline[经过排序的排名],ProjectTimelineData[],4,0),"")</f>
        <v/>
      </c>
      <c r="P319" s="2" t="str">
        <f ca="1">IFERROR(VLOOKUP(SortedTimeline[经过排序的排名],ProjectTimelineData[],5,0),"")</f>
        <v/>
      </c>
    </row>
    <row r="320" spans="5:16" x14ac:dyDescent="0.3">
      <c r="E320" s="3" t="str">
        <f ca="1">IFERROR(RANK(F320,ProjectTimelineData[排名])+SUMPRODUCT(--(F320=ProjectTimelineData[排名]),--(J320&lt;ProjectTimelineData[NUM])),"")</f>
        <v/>
      </c>
      <c r="F320" s="3" t="str">
        <f ca="1">IFERROR(RANK(ProjectTimelineData[[#This Row],[日期]],ProjectTimelineData[日期],1),"")</f>
        <v/>
      </c>
      <c r="G320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20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20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20" s="2" t="str">
        <f ca="1">IFERROR(IF(ISBLANK(INDEX(ProjectDetails[#Data],ROW(A315)+1,1)),"",IF($J319-1&lt;=-1,"",$J319-1)),"")</f>
        <v/>
      </c>
      <c r="M320" s="3" t="str">
        <f ca="1">IFERROR(ProjectTimelineData[NUM]+1,"")</f>
        <v/>
      </c>
      <c r="N320" s="6" t="str">
        <f ca="1">IFERROR(VLOOKUP(SortedTimeline[经过排序的排名],ProjectTimelineData[],3,0),"")</f>
        <v/>
      </c>
      <c r="O320" s="2" t="str">
        <f ca="1">IFERROR(VLOOKUP(SortedTimeline[经过排序的排名],ProjectTimelineData[],4,0),"")</f>
        <v/>
      </c>
      <c r="P320" s="2" t="str">
        <f ca="1">IFERROR(VLOOKUP(SortedTimeline[经过排序的排名],ProjectTimelineData[],5,0),"")</f>
        <v/>
      </c>
    </row>
    <row r="321" spans="5:16" x14ac:dyDescent="0.3">
      <c r="E321" s="3" t="str">
        <f ca="1">IFERROR(RANK(F321,ProjectTimelineData[排名])+SUMPRODUCT(--(F321=ProjectTimelineData[排名]),--(J321&lt;ProjectTimelineData[NUM])),"")</f>
        <v/>
      </c>
      <c r="F321" s="3" t="str">
        <f ca="1">IFERROR(RANK(ProjectTimelineData[[#This Row],[日期]],ProjectTimelineData[日期],1),"")</f>
        <v/>
      </c>
      <c r="G321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21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21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21" s="2" t="str">
        <f ca="1">IFERROR(IF(ISBLANK(INDEX(ProjectDetails[#Data],ROW(A316)+1,1)),"",IF($J320-1&lt;=-1,"",$J320-1)),"")</f>
        <v/>
      </c>
      <c r="M321" s="3" t="str">
        <f ca="1">IFERROR(ProjectTimelineData[NUM]+1,"")</f>
        <v/>
      </c>
      <c r="N321" s="6" t="str">
        <f ca="1">IFERROR(VLOOKUP(SortedTimeline[经过排序的排名],ProjectTimelineData[],3,0),"")</f>
        <v/>
      </c>
      <c r="O321" s="2" t="str">
        <f ca="1">IFERROR(VLOOKUP(SortedTimeline[经过排序的排名],ProjectTimelineData[],4,0),"")</f>
        <v/>
      </c>
      <c r="P321" s="2" t="str">
        <f ca="1">IFERROR(VLOOKUP(SortedTimeline[经过排序的排名],ProjectTimelineData[],5,0),"")</f>
        <v/>
      </c>
    </row>
    <row r="322" spans="5:16" x14ac:dyDescent="0.3">
      <c r="E322" s="3" t="str">
        <f ca="1">IFERROR(RANK(F322,ProjectTimelineData[排名])+SUMPRODUCT(--(F322=ProjectTimelineData[排名]),--(J322&lt;ProjectTimelineData[NUM])),"")</f>
        <v/>
      </c>
      <c r="F322" s="3" t="str">
        <f ca="1">IFERROR(RANK(ProjectTimelineData[[#This Row],[日期]],ProjectTimelineData[日期],1),"")</f>
        <v/>
      </c>
      <c r="G322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22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22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22" s="2" t="str">
        <f ca="1">IFERROR(IF(ISBLANK(INDEX(ProjectDetails[#Data],ROW(A317)+1,1)),"",IF($J321-1&lt;=-1,"",$J321-1)),"")</f>
        <v/>
      </c>
      <c r="M322" s="3" t="str">
        <f ca="1">IFERROR(ProjectTimelineData[NUM]+1,"")</f>
        <v/>
      </c>
      <c r="N322" s="6" t="str">
        <f ca="1">IFERROR(VLOOKUP(SortedTimeline[经过排序的排名],ProjectTimelineData[],3,0),"")</f>
        <v/>
      </c>
      <c r="O322" s="2" t="str">
        <f ca="1">IFERROR(VLOOKUP(SortedTimeline[经过排序的排名],ProjectTimelineData[],4,0),"")</f>
        <v/>
      </c>
      <c r="P322" s="2" t="str">
        <f ca="1">IFERROR(VLOOKUP(SortedTimeline[经过排序的排名],ProjectTimelineData[],5,0),"")</f>
        <v/>
      </c>
    </row>
    <row r="323" spans="5:16" x14ac:dyDescent="0.3">
      <c r="E323" s="3" t="str">
        <f ca="1">IFERROR(RANK(F323,ProjectTimelineData[排名])+SUMPRODUCT(--(F323=ProjectTimelineData[排名]),--(J323&lt;ProjectTimelineData[NUM])),"")</f>
        <v/>
      </c>
      <c r="F323" s="3" t="str">
        <f ca="1">IFERROR(RANK(ProjectTimelineData[[#This Row],[日期]],ProjectTimelineData[日期],1),"")</f>
        <v/>
      </c>
      <c r="G323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23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23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23" s="2" t="str">
        <f ca="1">IFERROR(IF(ISBLANK(INDEX(ProjectDetails[#Data],ROW(A318)+1,1)),"",IF($J322-1&lt;=-1,"",$J322-1)),"")</f>
        <v/>
      </c>
      <c r="M323" s="3" t="str">
        <f ca="1">IFERROR(ProjectTimelineData[NUM]+1,"")</f>
        <v/>
      </c>
      <c r="N323" s="6" t="str">
        <f ca="1">IFERROR(VLOOKUP(SortedTimeline[经过排序的排名],ProjectTimelineData[],3,0),"")</f>
        <v/>
      </c>
      <c r="O323" s="2" t="str">
        <f ca="1">IFERROR(VLOOKUP(SortedTimeline[经过排序的排名],ProjectTimelineData[],4,0),"")</f>
        <v/>
      </c>
      <c r="P323" s="2" t="str">
        <f ca="1">IFERROR(VLOOKUP(SortedTimeline[经过排序的排名],ProjectTimelineData[],5,0),"")</f>
        <v/>
      </c>
    </row>
    <row r="324" spans="5:16" x14ac:dyDescent="0.3">
      <c r="E324" s="3" t="str">
        <f ca="1">IFERROR(RANK(F324,ProjectTimelineData[排名])+SUMPRODUCT(--(F324=ProjectTimelineData[排名]),--(J324&lt;ProjectTimelineData[NUM])),"")</f>
        <v/>
      </c>
      <c r="F324" s="3" t="str">
        <f ca="1">IFERROR(RANK(ProjectTimelineData[[#This Row],[日期]],ProjectTimelineData[日期],1),"")</f>
        <v/>
      </c>
      <c r="G324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24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24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24" s="2" t="str">
        <f ca="1">IFERROR(IF(ISBLANK(INDEX(ProjectDetails[#Data],ROW(A319)+1,1)),"",IF($J323-1&lt;=-1,"",$J323-1)),"")</f>
        <v/>
      </c>
      <c r="M324" s="3" t="str">
        <f ca="1">IFERROR(ProjectTimelineData[NUM]+1,"")</f>
        <v/>
      </c>
      <c r="N324" s="6" t="str">
        <f ca="1">IFERROR(VLOOKUP(SortedTimeline[经过排序的排名],ProjectTimelineData[],3,0),"")</f>
        <v/>
      </c>
      <c r="O324" s="2" t="str">
        <f ca="1">IFERROR(VLOOKUP(SortedTimeline[经过排序的排名],ProjectTimelineData[],4,0),"")</f>
        <v/>
      </c>
      <c r="P324" s="2" t="str">
        <f ca="1">IFERROR(VLOOKUP(SortedTimeline[经过排序的排名],ProjectTimelineData[],5,0),"")</f>
        <v/>
      </c>
    </row>
    <row r="325" spans="5:16" x14ac:dyDescent="0.3">
      <c r="E325" s="3" t="str">
        <f ca="1">IFERROR(RANK(F325,ProjectTimelineData[排名])+SUMPRODUCT(--(F325=ProjectTimelineData[排名]),--(J325&lt;ProjectTimelineData[NUM])),"")</f>
        <v/>
      </c>
      <c r="F325" s="3" t="str">
        <f ca="1">IFERROR(RANK(ProjectTimelineData[[#This Row],[日期]],ProjectTimelineData[日期],1),"")</f>
        <v/>
      </c>
      <c r="G325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25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25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25" s="2" t="str">
        <f ca="1">IFERROR(IF(ISBLANK(INDEX(ProjectDetails[#Data],ROW(A320)+1,1)),"",IF($J324-1&lt;=-1,"",$J324-1)),"")</f>
        <v/>
      </c>
      <c r="M325" s="3" t="str">
        <f ca="1">IFERROR(ProjectTimelineData[NUM]+1,"")</f>
        <v/>
      </c>
      <c r="N325" s="6" t="str">
        <f ca="1">IFERROR(VLOOKUP(SortedTimeline[经过排序的排名],ProjectTimelineData[],3,0),"")</f>
        <v/>
      </c>
      <c r="O325" s="2" t="str">
        <f ca="1">IFERROR(VLOOKUP(SortedTimeline[经过排序的排名],ProjectTimelineData[],4,0),"")</f>
        <v/>
      </c>
      <c r="P325" s="2" t="str">
        <f ca="1">IFERROR(VLOOKUP(SortedTimeline[经过排序的排名],ProjectTimelineData[],5,0),"")</f>
        <v/>
      </c>
    </row>
    <row r="326" spans="5:16" x14ac:dyDescent="0.3">
      <c r="E326" s="3" t="str">
        <f ca="1">IFERROR(RANK(F326,ProjectTimelineData[排名])+SUMPRODUCT(--(F326=ProjectTimelineData[排名]),--(J326&lt;ProjectTimelineData[NUM])),"")</f>
        <v/>
      </c>
      <c r="F326" s="3" t="str">
        <f ca="1">IFERROR(RANK(ProjectTimelineData[[#This Row],[日期]],ProjectTimelineData[日期],1),"")</f>
        <v/>
      </c>
      <c r="G326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2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26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26" s="2" t="str">
        <f ca="1">IFERROR(IF(ISBLANK(INDEX(ProjectDetails[#Data],ROW(A321)+1,1)),"",IF($J325-1&lt;=-1,"",$J325-1)),"")</f>
        <v/>
      </c>
      <c r="M326" s="3" t="str">
        <f ca="1">IFERROR(ProjectTimelineData[NUM]+1,"")</f>
        <v/>
      </c>
      <c r="N326" s="6" t="str">
        <f ca="1">IFERROR(VLOOKUP(SortedTimeline[经过排序的排名],ProjectTimelineData[],3,0),"")</f>
        <v/>
      </c>
      <c r="O326" s="2" t="str">
        <f ca="1">IFERROR(VLOOKUP(SortedTimeline[经过排序的排名],ProjectTimelineData[],4,0),"")</f>
        <v/>
      </c>
      <c r="P326" s="2" t="str">
        <f ca="1">IFERROR(VLOOKUP(SortedTimeline[经过排序的排名],ProjectTimelineData[],5,0),"")</f>
        <v/>
      </c>
    </row>
    <row r="327" spans="5:16" x14ac:dyDescent="0.3">
      <c r="E327" s="3" t="str">
        <f ca="1">IFERROR(RANK(F327,ProjectTimelineData[排名])+SUMPRODUCT(--(F327=ProjectTimelineData[排名]),--(J327&lt;ProjectTimelineData[NUM])),"")</f>
        <v/>
      </c>
      <c r="F327" s="3" t="str">
        <f ca="1">IFERROR(RANK(ProjectTimelineData[[#This Row],[日期]],ProjectTimelineData[日期],1),"")</f>
        <v/>
      </c>
      <c r="G327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2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27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27" s="2" t="str">
        <f ca="1">IFERROR(IF(ISBLANK(INDEX(ProjectDetails[#Data],ROW(A322)+1,1)),"",IF($J326-1&lt;=-1,"",$J326-1)),"")</f>
        <v/>
      </c>
      <c r="M327" s="3" t="str">
        <f ca="1">IFERROR(ProjectTimelineData[NUM]+1,"")</f>
        <v/>
      </c>
      <c r="N327" s="6" t="str">
        <f ca="1">IFERROR(VLOOKUP(SortedTimeline[经过排序的排名],ProjectTimelineData[],3,0),"")</f>
        <v/>
      </c>
      <c r="O327" s="2" t="str">
        <f ca="1">IFERROR(VLOOKUP(SortedTimeline[经过排序的排名],ProjectTimelineData[],4,0),"")</f>
        <v/>
      </c>
      <c r="P327" s="2" t="str">
        <f ca="1">IFERROR(VLOOKUP(SortedTimeline[经过排序的排名],ProjectTimelineData[],5,0),"")</f>
        <v/>
      </c>
    </row>
    <row r="328" spans="5:16" x14ac:dyDescent="0.3">
      <c r="E328" s="3" t="str">
        <f ca="1">IFERROR(RANK(F328,ProjectTimelineData[排名])+SUMPRODUCT(--(F328=ProjectTimelineData[排名]),--(J328&lt;ProjectTimelineData[NUM])),"")</f>
        <v/>
      </c>
      <c r="F328" s="3" t="str">
        <f ca="1">IFERROR(RANK(ProjectTimelineData[[#This Row],[日期]],ProjectTimelineData[日期],1),"")</f>
        <v/>
      </c>
      <c r="G328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2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28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28" s="2" t="str">
        <f ca="1">IFERROR(IF(ISBLANK(INDEX(ProjectDetails[#Data],ROW(A323)+1,1)),"",IF($J327-1&lt;=-1,"",$J327-1)),"")</f>
        <v/>
      </c>
      <c r="M328" s="3" t="str">
        <f ca="1">IFERROR(ProjectTimelineData[NUM]+1,"")</f>
        <v/>
      </c>
      <c r="N328" s="6" t="str">
        <f ca="1">IFERROR(VLOOKUP(SortedTimeline[经过排序的排名],ProjectTimelineData[],3,0),"")</f>
        <v/>
      </c>
      <c r="O328" s="2" t="str">
        <f ca="1">IFERROR(VLOOKUP(SortedTimeline[经过排序的排名],ProjectTimelineData[],4,0),"")</f>
        <v/>
      </c>
      <c r="P328" s="2" t="str">
        <f ca="1">IFERROR(VLOOKUP(SortedTimeline[经过排序的排名],ProjectTimelineData[],5,0),"")</f>
        <v/>
      </c>
    </row>
    <row r="329" spans="5:16" x14ac:dyDescent="0.3">
      <c r="E329" s="3" t="str">
        <f ca="1">IFERROR(RANK(F329,ProjectTimelineData[排名])+SUMPRODUCT(--(F329=ProjectTimelineData[排名]),--(J329&lt;ProjectTimelineData[NUM])),"")</f>
        <v/>
      </c>
      <c r="F329" s="3" t="str">
        <f ca="1">IFERROR(RANK(ProjectTimelineData[[#This Row],[日期]],ProjectTimelineData[日期],1),"")</f>
        <v/>
      </c>
      <c r="G329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2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29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29" s="2" t="str">
        <f ca="1">IFERROR(IF(ISBLANK(INDEX(ProjectDetails[#Data],ROW(A324)+1,1)),"",IF($J328-1&lt;=-1,"",$J328-1)),"")</f>
        <v/>
      </c>
      <c r="M329" s="3" t="str">
        <f ca="1">IFERROR(ProjectTimelineData[NUM]+1,"")</f>
        <v/>
      </c>
      <c r="N329" s="6" t="str">
        <f ca="1">IFERROR(VLOOKUP(SortedTimeline[经过排序的排名],ProjectTimelineData[],3,0),"")</f>
        <v/>
      </c>
      <c r="O329" s="2" t="str">
        <f ca="1">IFERROR(VLOOKUP(SortedTimeline[经过排序的排名],ProjectTimelineData[],4,0),"")</f>
        <v/>
      </c>
      <c r="P329" s="2" t="str">
        <f ca="1">IFERROR(VLOOKUP(SortedTimeline[经过排序的排名],ProjectTimelineData[],5,0),"")</f>
        <v/>
      </c>
    </row>
    <row r="330" spans="5:16" x14ac:dyDescent="0.3">
      <c r="E330" s="3" t="str">
        <f ca="1">IFERROR(RANK(F330,ProjectTimelineData[排名])+SUMPRODUCT(--(F330=ProjectTimelineData[排名]),--(J330&lt;ProjectTimelineData[NUM])),"")</f>
        <v/>
      </c>
      <c r="F330" s="3" t="str">
        <f ca="1">IFERROR(RANK(ProjectTimelineData[[#This Row],[日期]],ProjectTimelineData[日期],1),"")</f>
        <v/>
      </c>
      <c r="G330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30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30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30" s="2" t="str">
        <f ca="1">IFERROR(IF(ISBLANK(INDEX(ProjectDetails[#Data],ROW(A325)+1,1)),"",IF($J329-1&lt;=-1,"",$J329-1)),"")</f>
        <v/>
      </c>
      <c r="M330" s="3" t="str">
        <f ca="1">IFERROR(ProjectTimelineData[NUM]+1,"")</f>
        <v/>
      </c>
      <c r="N330" s="6" t="str">
        <f ca="1">IFERROR(VLOOKUP(SortedTimeline[经过排序的排名],ProjectTimelineData[],3,0),"")</f>
        <v/>
      </c>
      <c r="O330" s="2" t="str">
        <f ca="1">IFERROR(VLOOKUP(SortedTimeline[经过排序的排名],ProjectTimelineData[],4,0),"")</f>
        <v/>
      </c>
      <c r="P330" s="2" t="str">
        <f ca="1">IFERROR(VLOOKUP(SortedTimeline[经过排序的排名],ProjectTimelineData[],5,0),"")</f>
        <v/>
      </c>
    </row>
    <row r="331" spans="5:16" x14ac:dyDescent="0.3">
      <c r="E331" s="3" t="str">
        <f ca="1">IFERROR(RANK(F331,ProjectTimelineData[排名])+SUMPRODUCT(--(F331=ProjectTimelineData[排名]),--(J331&lt;ProjectTimelineData[NUM])),"")</f>
        <v/>
      </c>
      <c r="F331" s="3" t="str">
        <f ca="1">IFERROR(RANK(ProjectTimelineData[[#This Row],[日期]],ProjectTimelineData[日期],1),"")</f>
        <v/>
      </c>
      <c r="G331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31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31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31" s="2" t="str">
        <f ca="1">IFERROR(IF(ISBLANK(INDEX(ProjectDetails[#Data],ROW(A326)+1,1)),"",IF($J330-1&lt;=-1,"",$J330-1)),"")</f>
        <v/>
      </c>
      <c r="M331" s="3" t="str">
        <f ca="1">IFERROR(ProjectTimelineData[NUM]+1,"")</f>
        <v/>
      </c>
      <c r="N331" s="6" t="str">
        <f ca="1">IFERROR(VLOOKUP(SortedTimeline[经过排序的排名],ProjectTimelineData[],3,0),"")</f>
        <v/>
      </c>
      <c r="O331" s="2" t="str">
        <f ca="1">IFERROR(VLOOKUP(SortedTimeline[经过排序的排名],ProjectTimelineData[],4,0),"")</f>
        <v/>
      </c>
      <c r="P331" s="2" t="str">
        <f ca="1">IFERROR(VLOOKUP(SortedTimeline[经过排序的排名],ProjectTimelineData[],5,0),"")</f>
        <v/>
      </c>
    </row>
    <row r="332" spans="5:16" x14ac:dyDescent="0.3">
      <c r="E332" s="3" t="str">
        <f ca="1">IFERROR(RANK(F332,ProjectTimelineData[排名])+SUMPRODUCT(--(F332=ProjectTimelineData[排名]),--(J332&lt;ProjectTimelineData[NUM])),"")</f>
        <v/>
      </c>
      <c r="F332" s="3" t="str">
        <f ca="1">IFERROR(RANK(ProjectTimelineData[[#This Row],[日期]],ProjectTimelineData[日期],1),"")</f>
        <v/>
      </c>
      <c r="G332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32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32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32" s="2" t="str">
        <f ca="1">IFERROR(IF(ISBLANK(INDEX(ProjectDetails[#Data],ROW(A327)+1,1)),"",IF($J331-1&lt;=-1,"",$J331-1)),"")</f>
        <v/>
      </c>
      <c r="M332" s="3" t="str">
        <f ca="1">IFERROR(ProjectTimelineData[NUM]+1,"")</f>
        <v/>
      </c>
      <c r="N332" s="6" t="str">
        <f ca="1">IFERROR(VLOOKUP(SortedTimeline[经过排序的排名],ProjectTimelineData[],3,0),"")</f>
        <v/>
      </c>
      <c r="O332" s="2" t="str">
        <f ca="1">IFERROR(VLOOKUP(SortedTimeline[经过排序的排名],ProjectTimelineData[],4,0),"")</f>
        <v/>
      </c>
      <c r="P332" s="2" t="str">
        <f ca="1">IFERROR(VLOOKUP(SortedTimeline[经过排序的排名],ProjectTimelineData[],5,0),"")</f>
        <v/>
      </c>
    </row>
    <row r="333" spans="5:16" x14ac:dyDescent="0.3">
      <c r="E333" s="3" t="str">
        <f ca="1">IFERROR(RANK(F333,ProjectTimelineData[排名])+SUMPRODUCT(--(F333=ProjectTimelineData[排名]),--(J333&lt;ProjectTimelineData[NUM])),"")</f>
        <v/>
      </c>
      <c r="F333" s="3" t="str">
        <f ca="1">IFERROR(RANK(ProjectTimelineData[[#This Row],[日期]],ProjectTimelineData[日期],1),"")</f>
        <v/>
      </c>
      <c r="G333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33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33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33" s="2" t="str">
        <f ca="1">IFERROR(IF(ISBLANK(INDEX(ProjectDetails[#Data],ROW(A328)+1,1)),"",IF($J332-1&lt;=-1,"",$J332-1)),"")</f>
        <v/>
      </c>
      <c r="M333" s="3" t="str">
        <f ca="1">IFERROR(ProjectTimelineData[NUM]+1,"")</f>
        <v/>
      </c>
      <c r="N333" s="6" t="str">
        <f ca="1">IFERROR(VLOOKUP(SortedTimeline[经过排序的排名],ProjectTimelineData[],3,0),"")</f>
        <v/>
      </c>
      <c r="O333" s="2" t="str">
        <f ca="1">IFERROR(VLOOKUP(SortedTimeline[经过排序的排名],ProjectTimelineData[],4,0),"")</f>
        <v/>
      </c>
      <c r="P333" s="2" t="str">
        <f ca="1">IFERROR(VLOOKUP(SortedTimeline[经过排序的排名],ProjectTimelineData[],5,0),"")</f>
        <v/>
      </c>
    </row>
    <row r="334" spans="5:16" x14ac:dyDescent="0.3">
      <c r="E334" s="3" t="str">
        <f ca="1">IFERROR(RANK(F334,ProjectTimelineData[排名])+SUMPRODUCT(--(F334=ProjectTimelineData[排名]),--(J334&lt;ProjectTimelineData[NUM])),"")</f>
        <v/>
      </c>
      <c r="F334" s="3" t="str">
        <f ca="1">IFERROR(RANK(ProjectTimelineData[[#This Row],[日期]],ProjectTimelineData[日期],1),"")</f>
        <v/>
      </c>
      <c r="G334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34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34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34" s="2" t="str">
        <f ca="1">IFERROR(IF(ISBLANK(INDEX(ProjectDetails[#Data],ROW(A329)+1,1)),"",IF($J333-1&lt;=-1,"",$J333-1)),"")</f>
        <v/>
      </c>
      <c r="M334" s="3" t="str">
        <f ca="1">IFERROR(ProjectTimelineData[NUM]+1,"")</f>
        <v/>
      </c>
      <c r="N334" s="6" t="str">
        <f ca="1">IFERROR(VLOOKUP(SortedTimeline[经过排序的排名],ProjectTimelineData[],3,0),"")</f>
        <v/>
      </c>
      <c r="O334" s="2" t="str">
        <f ca="1">IFERROR(VLOOKUP(SortedTimeline[经过排序的排名],ProjectTimelineData[],4,0),"")</f>
        <v/>
      </c>
      <c r="P334" s="2" t="str">
        <f ca="1">IFERROR(VLOOKUP(SortedTimeline[经过排序的排名],ProjectTimelineData[],5,0),"")</f>
        <v/>
      </c>
    </row>
    <row r="335" spans="5:16" x14ac:dyDescent="0.3">
      <c r="E335" s="3" t="str">
        <f ca="1">IFERROR(RANK(F335,ProjectTimelineData[排名])+SUMPRODUCT(--(F335=ProjectTimelineData[排名]),--(J335&lt;ProjectTimelineData[NUM])),"")</f>
        <v/>
      </c>
      <c r="F335" s="3" t="str">
        <f ca="1">IFERROR(RANK(ProjectTimelineData[[#This Row],[日期]],ProjectTimelineData[日期],1),"")</f>
        <v/>
      </c>
      <c r="G335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35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35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35" s="2" t="str">
        <f ca="1">IFERROR(IF(ISBLANK(INDEX(ProjectDetails[#Data],ROW(A330)+1,1)),"",IF($J334-1&lt;=-1,"",$J334-1)),"")</f>
        <v/>
      </c>
      <c r="M335" s="3" t="str">
        <f ca="1">IFERROR(ProjectTimelineData[NUM]+1,"")</f>
        <v/>
      </c>
      <c r="N335" s="6" t="str">
        <f ca="1">IFERROR(VLOOKUP(SortedTimeline[经过排序的排名],ProjectTimelineData[],3,0),"")</f>
        <v/>
      </c>
      <c r="O335" s="2" t="str">
        <f ca="1">IFERROR(VLOOKUP(SortedTimeline[经过排序的排名],ProjectTimelineData[],4,0),"")</f>
        <v/>
      </c>
      <c r="P335" s="2" t="str">
        <f ca="1">IFERROR(VLOOKUP(SortedTimeline[经过排序的排名],ProjectTimelineData[],5,0),"")</f>
        <v/>
      </c>
    </row>
    <row r="336" spans="5:16" x14ac:dyDescent="0.3">
      <c r="E336" s="3" t="str">
        <f ca="1">IFERROR(RANK(F336,ProjectTimelineData[排名])+SUMPRODUCT(--(F336=ProjectTimelineData[排名]),--(J336&lt;ProjectTimelineData[NUM])),"")</f>
        <v/>
      </c>
      <c r="F336" s="3" t="str">
        <f ca="1">IFERROR(RANK(ProjectTimelineData[[#This Row],[日期]],ProjectTimelineData[日期],1),"")</f>
        <v/>
      </c>
      <c r="G336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3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36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36" s="2" t="str">
        <f ca="1">IFERROR(IF(ISBLANK(INDEX(ProjectDetails[#Data],ROW(A331)+1,1)),"",IF($J335-1&lt;=-1,"",$J335-1)),"")</f>
        <v/>
      </c>
      <c r="M336" s="3" t="str">
        <f ca="1">IFERROR(ProjectTimelineData[NUM]+1,"")</f>
        <v/>
      </c>
      <c r="N336" s="6" t="str">
        <f ca="1">IFERROR(VLOOKUP(SortedTimeline[经过排序的排名],ProjectTimelineData[],3,0),"")</f>
        <v/>
      </c>
      <c r="O336" s="2" t="str">
        <f ca="1">IFERROR(VLOOKUP(SortedTimeline[经过排序的排名],ProjectTimelineData[],4,0),"")</f>
        <v/>
      </c>
      <c r="P336" s="2" t="str">
        <f ca="1">IFERROR(VLOOKUP(SortedTimeline[经过排序的排名],ProjectTimelineData[],5,0),"")</f>
        <v/>
      </c>
    </row>
    <row r="337" spans="5:16" x14ac:dyDescent="0.3">
      <c r="E337" s="3" t="str">
        <f ca="1">IFERROR(RANK(F337,ProjectTimelineData[排名])+SUMPRODUCT(--(F337=ProjectTimelineData[排名]),--(J337&lt;ProjectTimelineData[NUM])),"")</f>
        <v/>
      </c>
      <c r="F337" s="3" t="str">
        <f ca="1">IFERROR(RANK(ProjectTimelineData[[#This Row],[日期]],ProjectTimelineData[日期],1),"")</f>
        <v/>
      </c>
      <c r="G337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3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37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37" s="2" t="str">
        <f ca="1">IFERROR(IF(ISBLANK(INDEX(ProjectDetails[#Data],ROW(A332)+1,1)),"",IF($J336-1&lt;=-1,"",$J336-1)),"")</f>
        <v/>
      </c>
      <c r="M337" s="3" t="str">
        <f ca="1">IFERROR(ProjectTimelineData[NUM]+1,"")</f>
        <v/>
      </c>
      <c r="N337" s="6" t="str">
        <f ca="1">IFERROR(VLOOKUP(SortedTimeline[经过排序的排名],ProjectTimelineData[],3,0),"")</f>
        <v/>
      </c>
      <c r="O337" s="2" t="str">
        <f ca="1">IFERROR(VLOOKUP(SortedTimeline[经过排序的排名],ProjectTimelineData[],4,0),"")</f>
        <v/>
      </c>
      <c r="P337" s="2" t="str">
        <f ca="1">IFERROR(VLOOKUP(SortedTimeline[经过排序的排名],ProjectTimelineData[],5,0),"")</f>
        <v/>
      </c>
    </row>
    <row r="338" spans="5:16" x14ac:dyDescent="0.3">
      <c r="E338" s="3" t="str">
        <f ca="1">IFERROR(RANK(F338,ProjectTimelineData[排名])+SUMPRODUCT(--(F338=ProjectTimelineData[排名]),--(J338&lt;ProjectTimelineData[NUM])),"")</f>
        <v/>
      </c>
      <c r="F338" s="3" t="str">
        <f ca="1">IFERROR(RANK(ProjectTimelineData[[#This Row],[日期]],ProjectTimelineData[日期],1),"")</f>
        <v/>
      </c>
      <c r="G338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3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38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38" s="2" t="str">
        <f ca="1">IFERROR(IF(ISBLANK(INDEX(ProjectDetails[#Data],ROW(A333)+1,1)),"",IF($J337-1&lt;=-1,"",$J337-1)),"")</f>
        <v/>
      </c>
      <c r="M338" s="3" t="str">
        <f ca="1">IFERROR(ProjectTimelineData[NUM]+1,"")</f>
        <v/>
      </c>
      <c r="N338" s="6" t="str">
        <f ca="1">IFERROR(VLOOKUP(SortedTimeline[经过排序的排名],ProjectTimelineData[],3,0),"")</f>
        <v/>
      </c>
      <c r="O338" s="2" t="str">
        <f ca="1">IFERROR(VLOOKUP(SortedTimeline[经过排序的排名],ProjectTimelineData[],4,0),"")</f>
        <v/>
      </c>
      <c r="P338" s="2" t="str">
        <f ca="1">IFERROR(VLOOKUP(SortedTimeline[经过排序的排名],ProjectTimelineData[],5,0),"")</f>
        <v/>
      </c>
    </row>
    <row r="339" spans="5:16" x14ac:dyDescent="0.3">
      <c r="E339" s="3" t="str">
        <f ca="1">IFERROR(RANK(F339,ProjectTimelineData[排名])+SUMPRODUCT(--(F339=ProjectTimelineData[排名]),--(J339&lt;ProjectTimelineData[NUM])),"")</f>
        <v/>
      </c>
      <c r="F339" s="3" t="str">
        <f ca="1">IFERROR(RANK(ProjectTimelineData[[#This Row],[日期]],ProjectTimelineData[日期],1),"")</f>
        <v/>
      </c>
      <c r="G339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3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39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39" s="2" t="str">
        <f ca="1">IFERROR(IF(ISBLANK(INDEX(ProjectDetails[#Data],ROW(A334)+1,1)),"",IF($J338-1&lt;=-1,"",$J338-1)),"")</f>
        <v/>
      </c>
      <c r="M339" s="3" t="str">
        <f ca="1">IFERROR(ProjectTimelineData[NUM]+1,"")</f>
        <v/>
      </c>
      <c r="N339" s="6" t="str">
        <f ca="1">IFERROR(VLOOKUP(SortedTimeline[经过排序的排名],ProjectTimelineData[],3,0),"")</f>
        <v/>
      </c>
      <c r="O339" s="2" t="str">
        <f ca="1">IFERROR(VLOOKUP(SortedTimeline[经过排序的排名],ProjectTimelineData[],4,0),"")</f>
        <v/>
      </c>
      <c r="P339" s="2" t="str">
        <f ca="1">IFERROR(VLOOKUP(SortedTimeline[经过排序的排名],ProjectTimelineData[],5,0),"")</f>
        <v/>
      </c>
    </row>
    <row r="340" spans="5:16" x14ac:dyDescent="0.3">
      <c r="E340" s="3" t="str">
        <f ca="1">IFERROR(RANK(F340,ProjectTimelineData[排名])+SUMPRODUCT(--(F340=ProjectTimelineData[排名]),--(J340&lt;ProjectTimelineData[NUM])),"")</f>
        <v/>
      </c>
      <c r="F340" s="3" t="str">
        <f ca="1">IFERROR(RANK(ProjectTimelineData[[#This Row],[日期]],ProjectTimelineData[日期],1),"")</f>
        <v/>
      </c>
      <c r="G340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40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40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40" s="2" t="str">
        <f ca="1">IFERROR(IF(ISBLANK(INDEX(ProjectDetails[#Data],ROW(A335)+1,1)),"",IF($J339-1&lt;=-1,"",$J339-1)),"")</f>
        <v/>
      </c>
      <c r="M340" s="3" t="str">
        <f ca="1">IFERROR(ProjectTimelineData[NUM]+1,"")</f>
        <v/>
      </c>
      <c r="N340" s="6" t="str">
        <f ca="1">IFERROR(VLOOKUP(SortedTimeline[经过排序的排名],ProjectTimelineData[],3,0),"")</f>
        <v/>
      </c>
      <c r="O340" s="2" t="str">
        <f ca="1">IFERROR(VLOOKUP(SortedTimeline[经过排序的排名],ProjectTimelineData[],4,0),"")</f>
        <v/>
      </c>
      <c r="P340" s="2" t="str">
        <f ca="1">IFERROR(VLOOKUP(SortedTimeline[经过排序的排名],ProjectTimelineData[],5,0),"")</f>
        <v/>
      </c>
    </row>
    <row r="341" spans="5:16" x14ac:dyDescent="0.3">
      <c r="E341" s="3" t="str">
        <f ca="1">IFERROR(RANK(F341,ProjectTimelineData[排名])+SUMPRODUCT(--(F341=ProjectTimelineData[排名]),--(J341&lt;ProjectTimelineData[NUM])),"")</f>
        <v/>
      </c>
      <c r="F341" s="3" t="str">
        <f ca="1">IFERROR(RANK(ProjectTimelineData[[#This Row],[日期]],ProjectTimelineData[日期],1),"")</f>
        <v/>
      </c>
      <c r="G341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41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41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41" s="2" t="str">
        <f ca="1">IFERROR(IF(ISBLANK(INDEX(ProjectDetails[#Data],ROW(A336)+1,1)),"",IF($J340-1&lt;=-1,"",$J340-1)),"")</f>
        <v/>
      </c>
      <c r="M341" s="3" t="str">
        <f ca="1">IFERROR(ProjectTimelineData[NUM]+1,"")</f>
        <v/>
      </c>
      <c r="N341" s="6" t="str">
        <f ca="1">IFERROR(VLOOKUP(SortedTimeline[经过排序的排名],ProjectTimelineData[],3,0),"")</f>
        <v/>
      </c>
      <c r="O341" s="2" t="str">
        <f ca="1">IFERROR(VLOOKUP(SortedTimeline[经过排序的排名],ProjectTimelineData[],4,0),"")</f>
        <v/>
      </c>
      <c r="P341" s="2" t="str">
        <f ca="1">IFERROR(VLOOKUP(SortedTimeline[经过排序的排名],ProjectTimelineData[],5,0),"")</f>
        <v/>
      </c>
    </row>
    <row r="342" spans="5:16" x14ac:dyDescent="0.3">
      <c r="E342" s="3" t="str">
        <f ca="1">IFERROR(RANK(F342,ProjectTimelineData[排名])+SUMPRODUCT(--(F342=ProjectTimelineData[排名]),--(J342&lt;ProjectTimelineData[NUM])),"")</f>
        <v/>
      </c>
      <c r="F342" s="3" t="str">
        <f ca="1">IFERROR(RANK(ProjectTimelineData[[#This Row],[日期]],ProjectTimelineData[日期],1),"")</f>
        <v/>
      </c>
      <c r="G342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42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42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42" s="2" t="str">
        <f ca="1">IFERROR(IF(ISBLANK(INDEX(ProjectDetails[#Data],ROW(A337)+1,1)),"",IF($J341-1&lt;=-1,"",$J341-1)),"")</f>
        <v/>
      </c>
      <c r="M342" s="3" t="str">
        <f ca="1">IFERROR(ProjectTimelineData[NUM]+1,"")</f>
        <v/>
      </c>
      <c r="N342" s="6" t="str">
        <f ca="1">IFERROR(VLOOKUP(SortedTimeline[经过排序的排名],ProjectTimelineData[],3,0),"")</f>
        <v/>
      </c>
      <c r="O342" s="2" t="str">
        <f ca="1">IFERROR(VLOOKUP(SortedTimeline[经过排序的排名],ProjectTimelineData[],4,0),"")</f>
        <v/>
      </c>
      <c r="P342" s="2" t="str">
        <f ca="1">IFERROR(VLOOKUP(SortedTimeline[经过排序的排名],ProjectTimelineData[],5,0),"")</f>
        <v/>
      </c>
    </row>
    <row r="343" spans="5:16" x14ac:dyDescent="0.3">
      <c r="E343" s="3" t="str">
        <f ca="1">IFERROR(RANK(F343,ProjectTimelineData[排名])+SUMPRODUCT(--(F343=ProjectTimelineData[排名]),--(J343&lt;ProjectTimelineData[NUM])),"")</f>
        <v/>
      </c>
      <c r="F343" s="3" t="str">
        <f ca="1">IFERROR(RANK(ProjectTimelineData[[#This Row],[日期]],ProjectTimelineData[日期],1),"")</f>
        <v/>
      </c>
      <c r="G343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43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43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43" s="2" t="str">
        <f ca="1">IFERROR(IF(ISBLANK(INDEX(ProjectDetails[#Data],ROW(A338)+1,1)),"",IF($J342-1&lt;=-1,"",$J342-1)),"")</f>
        <v/>
      </c>
      <c r="M343" s="3" t="str">
        <f ca="1">IFERROR(ProjectTimelineData[NUM]+1,"")</f>
        <v/>
      </c>
      <c r="N343" s="6" t="str">
        <f ca="1">IFERROR(VLOOKUP(SortedTimeline[经过排序的排名],ProjectTimelineData[],3,0),"")</f>
        <v/>
      </c>
      <c r="O343" s="2" t="str">
        <f ca="1">IFERROR(VLOOKUP(SortedTimeline[经过排序的排名],ProjectTimelineData[],4,0),"")</f>
        <v/>
      </c>
      <c r="P343" s="2" t="str">
        <f ca="1">IFERROR(VLOOKUP(SortedTimeline[经过排序的排名],ProjectTimelineData[],5,0),"")</f>
        <v/>
      </c>
    </row>
    <row r="344" spans="5:16" x14ac:dyDescent="0.3">
      <c r="E344" s="3" t="str">
        <f ca="1">IFERROR(RANK(F344,ProjectTimelineData[排名])+SUMPRODUCT(--(F344=ProjectTimelineData[排名]),--(J344&lt;ProjectTimelineData[NUM])),"")</f>
        <v/>
      </c>
      <c r="F344" s="3" t="str">
        <f ca="1">IFERROR(RANK(ProjectTimelineData[[#This Row],[日期]],ProjectTimelineData[日期],1),"")</f>
        <v/>
      </c>
      <c r="G344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44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44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44" s="2" t="str">
        <f ca="1">IFERROR(IF(ISBLANK(INDEX(ProjectDetails[#Data],ROW(A339)+1,1)),"",IF($J343-1&lt;=-1,"",$J343-1)),"")</f>
        <v/>
      </c>
      <c r="M344" s="3" t="str">
        <f ca="1">IFERROR(ProjectTimelineData[NUM]+1,"")</f>
        <v/>
      </c>
      <c r="N344" s="6" t="str">
        <f ca="1">IFERROR(VLOOKUP(SortedTimeline[经过排序的排名],ProjectTimelineData[],3,0),"")</f>
        <v/>
      </c>
      <c r="O344" s="2" t="str">
        <f ca="1">IFERROR(VLOOKUP(SortedTimeline[经过排序的排名],ProjectTimelineData[],4,0),"")</f>
        <v/>
      </c>
      <c r="P344" s="2" t="str">
        <f ca="1">IFERROR(VLOOKUP(SortedTimeline[经过排序的排名],ProjectTimelineData[],5,0),"")</f>
        <v/>
      </c>
    </row>
    <row r="345" spans="5:16" x14ac:dyDescent="0.3">
      <c r="E345" s="3" t="str">
        <f ca="1">IFERROR(RANK(F345,ProjectTimelineData[排名])+SUMPRODUCT(--(F345=ProjectTimelineData[排名]),--(J345&lt;ProjectTimelineData[NUM])),"")</f>
        <v/>
      </c>
      <c r="F345" s="3" t="str">
        <f ca="1">IFERROR(RANK(ProjectTimelineData[[#This Row],[日期]],ProjectTimelineData[日期],1),"")</f>
        <v/>
      </c>
      <c r="G345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45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45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45" s="2" t="str">
        <f ca="1">IFERROR(IF(ISBLANK(INDEX(ProjectDetails[#Data],ROW(A340)+1,1)),"",IF($J344-1&lt;=-1,"",$J344-1)),"")</f>
        <v/>
      </c>
      <c r="M345" s="3" t="str">
        <f ca="1">IFERROR(ProjectTimelineData[NUM]+1,"")</f>
        <v/>
      </c>
      <c r="N345" s="6" t="str">
        <f ca="1">IFERROR(VLOOKUP(SortedTimeline[经过排序的排名],ProjectTimelineData[],3,0),"")</f>
        <v/>
      </c>
      <c r="O345" s="2" t="str">
        <f ca="1">IFERROR(VLOOKUP(SortedTimeline[经过排序的排名],ProjectTimelineData[],4,0),"")</f>
        <v/>
      </c>
      <c r="P345" s="2" t="str">
        <f ca="1">IFERROR(VLOOKUP(SortedTimeline[经过排序的排名],ProjectTimelineData[],5,0),"")</f>
        <v/>
      </c>
    </row>
    <row r="346" spans="5:16" x14ac:dyDescent="0.3">
      <c r="E346" s="3" t="str">
        <f ca="1">IFERROR(RANK(F346,ProjectTimelineData[排名])+SUMPRODUCT(--(F346=ProjectTimelineData[排名]),--(J346&lt;ProjectTimelineData[NUM])),"")</f>
        <v/>
      </c>
      <c r="F346" s="3" t="str">
        <f ca="1">IFERROR(RANK(ProjectTimelineData[[#This Row],[日期]],ProjectTimelineData[日期],1),"")</f>
        <v/>
      </c>
      <c r="G346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46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46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46" s="2" t="str">
        <f ca="1">IFERROR(IF(ISBLANK(INDEX(ProjectDetails[#Data],ROW(A341)+1,1)),"",IF($J345-1&lt;=-1,"",$J345-1)),"")</f>
        <v/>
      </c>
      <c r="M346" s="3" t="str">
        <f ca="1">IFERROR(ProjectTimelineData[NUM]+1,"")</f>
        <v/>
      </c>
      <c r="N346" s="6" t="str">
        <f ca="1">IFERROR(VLOOKUP(SortedTimeline[经过排序的排名],ProjectTimelineData[],3,0),"")</f>
        <v/>
      </c>
      <c r="O346" s="2" t="str">
        <f ca="1">IFERROR(VLOOKUP(SortedTimeline[经过排序的排名],ProjectTimelineData[],4,0),"")</f>
        <v/>
      </c>
      <c r="P346" s="2" t="str">
        <f ca="1">IFERROR(VLOOKUP(SortedTimeline[经过排序的排名],ProjectTimelineData[],5,0),"")</f>
        <v/>
      </c>
    </row>
    <row r="347" spans="5:16" x14ac:dyDescent="0.3">
      <c r="E347" s="3" t="str">
        <f ca="1">IFERROR(RANK(F347,ProjectTimelineData[排名])+SUMPRODUCT(--(F347=ProjectTimelineData[排名]),--(J347&lt;ProjectTimelineData[NUM])),"")</f>
        <v/>
      </c>
      <c r="F347" s="3" t="str">
        <f ca="1">IFERROR(RANK(ProjectTimelineData[[#This Row],[日期]],ProjectTimelineData[日期],1),"")</f>
        <v/>
      </c>
      <c r="G347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47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47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47" s="2" t="str">
        <f ca="1">IFERROR(IF(ISBLANK(INDEX(ProjectDetails[#Data],ROW(A342)+1,1)),"",IF($J346-1&lt;=-1,"",$J346-1)),"")</f>
        <v/>
      </c>
      <c r="M347" s="3" t="str">
        <f ca="1">IFERROR(ProjectTimelineData[NUM]+1,"")</f>
        <v/>
      </c>
      <c r="N347" s="6" t="str">
        <f ca="1">IFERROR(VLOOKUP(SortedTimeline[经过排序的排名],ProjectTimelineData[],3,0),"")</f>
        <v/>
      </c>
      <c r="O347" s="2" t="str">
        <f ca="1">IFERROR(VLOOKUP(SortedTimeline[经过排序的排名],ProjectTimelineData[],4,0),"")</f>
        <v/>
      </c>
      <c r="P347" s="2" t="str">
        <f ca="1">IFERROR(VLOOKUP(SortedTimeline[经过排序的排名],ProjectTimelineData[],5,0),"")</f>
        <v/>
      </c>
    </row>
    <row r="348" spans="5:16" x14ac:dyDescent="0.3">
      <c r="E348" s="3" t="str">
        <f ca="1">IFERROR(RANK(F348,ProjectTimelineData[排名])+SUMPRODUCT(--(F348=ProjectTimelineData[排名]),--(J348&lt;ProjectTimelineData[NUM])),"")</f>
        <v/>
      </c>
      <c r="F348" s="3" t="str">
        <f ca="1">IFERROR(RANK(ProjectTimelineData[[#This Row],[日期]],ProjectTimelineData[日期],1),"")</f>
        <v/>
      </c>
      <c r="G348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48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48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48" s="2" t="str">
        <f ca="1">IFERROR(IF(ISBLANK(INDEX(ProjectDetails[#Data],ROW(A343)+1,1)),"",IF($J347-1&lt;=-1,"",$J347-1)),"")</f>
        <v/>
      </c>
      <c r="M348" s="3" t="str">
        <f ca="1">IFERROR(ProjectTimelineData[NUM]+1,"")</f>
        <v/>
      </c>
      <c r="N348" s="6" t="str">
        <f ca="1">IFERROR(VLOOKUP(SortedTimeline[经过排序的排名],ProjectTimelineData[],3,0),"")</f>
        <v/>
      </c>
      <c r="O348" s="2" t="str">
        <f ca="1">IFERROR(VLOOKUP(SortedTimeline[经过排序的排名],ProjectTimelineData[],4,0),"")</f>
        <v/>
      </c>
      <c r="P348" s="2" t="str">
        <f ca="1">IFERROR(VLOOKUP(SortedTimeline[经过排序的排名],ProjectTimelineData[],5,0),"")</f>
        <v/>
      </c>
    </row>
    <row r="349" spans="5:16" x14ac:dyDescent="0.3">
      <c r="E349" s="3" t="str">
        <f ca="1">IFERROR(RANK(F349,ProjectTimelineData[排名])+SUMPRODUCT(--(F349=ProjectTimelineData[排名]),--(J349&lt;ProjectTimelineData[NUM])),"")</f>
        <v/>
      </c>
      <c r="F349" s="3" t="str">
        <f ca="1">IFERROR(RANK(ProjectTimelineData[[#This Row],[日期]],ProjectTimelineData[日期],1),"")</f>
        <v/>
      </c>
      <c r="G349" s="6" t="str">
        <f ca="1">IFERROR(IF(ISBLANK(INDEX(ProjectDetails[#Data],Project_last_entry-Project_start_row-ProjectTimelineData[[#This Row],[NUM]]+1,1)),"",INDEX(ProjectDetails[#Data],Project_last_entry-Project_start_row-ProjectTimelineData[[#This Row],[NUM]]+1,1)),"")</f>
        <v/>
      </c>
      <c r="H349" s="4" t="str">
        <f ca="1">IFERROR(IF(ISBLANK(INDEX(ProjectDetails[#Data],Project_last_entry-Project_start_row-ProjectTimelineData[[#This Row],[NUM]]+1,2)),"",INDEX(ProjectDetails[#Data],Project_last_entry-Project_start_row-ProjectTimelineData[[#This Row],[NUM]]+1,2)),"")</f>
        <v/>
      </c>
      <c r="I349" s="4" t="str">
        <f ca="1">IFERROR(IF(ISBLANK(INDEX(ProjectDetails[#Data],Project_last_entry-Project_start_row-ProjectTimelineData[[#This Row],[NUM]]+1,3)),"",INDEX(ProjectDetails[#Data],Project_last_entry-Project_start_row-ProjectTimelineData[[#This Row],[NUM]]+1,3)),"")</f>
        <v/>
      </c>
      <c r="J349" s="2" t="str">
        <f ca="1">IFERROR(IF(ISBLANK(INDEX(ProjectDetails[#Data],ROW(A344)+1,1)),"",IF($J348-1&lt;=-1,"",$J348-1)),"")</f>
        <v/>
      </c>
      <c r="M349" s="3" t="str">
        <f ca="1">IFERROR(ProjectTimelineData[NUM]+1,"")</f>
        <v/>
      </c>
      <c r="N349" s="6" t="str">
        <f ca="1">IFERROR(VLOOKUP(SortedTimeline[经过排序的排名],ProjectTimelineData[],3,0),"")</f>
        <v/>
      </c>
      <c r="O349" s="2" t="str">
        <f ca="1">IFERROR(VLOOKUP(SortedTimeline[经过排序的排名],ProjectTimelineData[],4,0),"")</f>
        <v/>
      </c>
      <c r="P349" s="2" t="str">
        <f ca="1">IFERROR(VLOOKUP(SortedTimeline[经过排序的排名],ProjectTimelineData[],5,0),"")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J5:J349" calculatedColumn="1"/>
  </ignoredErrors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</vt:i4>
      </vt:variant>
    </vt:vector>
  </HeadingPairs>
  <TitlesOfParts>
    <vt:vector size="6" baseType="lpstr">
      <vt:lpstr>项目日程表</vt:lpstr>
      <vt:lpstr>排序后的项目日期</vt:lpstr>
      <vt:lpstr>ColumnTitle1</vt:lpstr>
      <vt:lpstr>项目日程表!Print_Titles</vt:lpstr>
      <vt:lpstr>Project_last_entry</vt:lpstr>
      <vt:lpstr>Project_start_row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keywords/>
  <dcterms:created xsi:type="dcterms:W3CDTF">2017-06-24T00:49:35Z</dcterms:created>
  <dcterms:modified xsi:type="dcterms:W3CDTF">2017-09-30T06:21:16Z</dcterms:modified>
  <cp:version/>
</cp:coreProperties>
</file>